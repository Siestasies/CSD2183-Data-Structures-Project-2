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Gpen\CSD2183-Data-Structures-Project-2\data_analysis\"/>
    </mc:Choice>
  </mc:AlternateContent>
  <xr:revisionPtr revIDLastSave="0" documentId="8_{6E38E286-E696-4342-BBC8-6BD9FABCEADC}" xr6:coauthVersionLast="47" xr6:coauthVersionMax="47" xr10:uidLastSave="{00000000-0000-0000-0000-000000000000}"/>
  <bookViews>
    <workbookView xWindow="-120" yWindow="-120" windowWidth="29040" windowHeight="15720" activeTab="1" xr2:uid="{63D6132D-B578-46F8-8854-28813E28CE2E}"/>
  </bookViews>
  <sheets>
    <sheet name="Sheet5" sheetId="6" r:id="rId1"/>
    <sheet name="Sheet6" sheetId="7" r:id="rId2"/>
    <sheet name="benchmark_orignal_results" sheetId="1" r:id="rId3"/>
  </sheets>
  <definedNames>
    <definedName name="_xlnm._FilterDatabase" localSheetId="2" hidden="1">benchmark_orignal_results!$A$1:$H$1</definedName>
  </definedNames>
  <calcPr calcId="0"/>
  <pivotCaches>
    <pivotCache cacheId="33" r:id="rId4"/>
  </pivotCaches>
</workbook>
</file>

<file path=xl/calcChain.xml><?xml version="1.0" encoding="utf-8"?>
<calcChain xmlns="http://schemas.openxmlformats.org/spreadsheetml/2006/main">
  <c r="H2" i="1" l="1"/>
  <c r="H30" i="1"/>
  <c r="H85" i="1"/>
  <c r="H58" i="1"/>
  <c r="H3" i="1"/>
  <c r="H31" i="1"/>
  <c r="H86" i="1"/>
  <c r="H59" i="1"/>
  <c r="H4" i="1"/>
  <c r="H32" i="1"/>
  <c r="H87" i="1"/>
  <c r="H60" i="1"/>
  <c r="H5" i="1"/>
  <c r="H33" i="1"/>
  <c r="H88" i="1"/>
  <c r="H61" i="1"/>
  <c r="H6" i="1"/>
  <c r="H34" i="1"/>
  <c r="H89" i="1"/>
  <c r="H62" i="1"/>
  <c r="H7" i="1"/>
  <c r="H35" i="1"/>
  <c r="H90" i="1"/>
  <c r="H63" i="1"/>
  <c r="H8" i="1"/>
  <c r="H36" i="1"/>
  <c r="H91" i="1"/>
  <c r="H64" i="1"/>
  <c r="H9" i="1"/>
  <c r="H37" i="1"/>
  <c r="H92" i="1"/>
  <c r="H65" i="1"/>
  <c r="H10" i="1"/>
  <c r="H38" i="1"/>
  <c r="H93" i="1"/>
  <c r="H66" i="1"/>
  <c r="H11" i="1"/>
  <c r="H39" i="1"/>
  <c r="H94" i="1"/>
  <c r="H67" i="1"/>
  <c r="H12" i="1"/>
  <c r="H40" i="1"/>
  <c r="H95" i="1"/>
  <c r="H68" i="1"/>
  <c r="H13" i="1"/>
  <c r="H41" i="1"/>
  <c r="H96" i="1"/>
  <c r="H14" i="1"/>
  <c r="H69" i="1"/>
  <c r="H42" i="1"/>
  <c r="H97" i="1"/>
  <c r="H70" i="1"/>
  <c r="H15" i="1"/>
  <c r="H43" i="1"/>
  <c r="H98" i="1"/>
  <c r="H71" i="1"/>
  <c r="H16" i="1"/>
  <c r="H44" i="1"/>
  <c r="H99" i="1"/>
  <c r="H17" i="1"/>
  <c r="H72" i="1"/>
  <c r="H45" i="1"/>
  <c r="H100" i="1"/>
  <c r="H18" i="1"/>
  <c r="H73" i="1"/>
  <c r="H46" i="1"/>
  <c r="H101" i="1"/>
  <c r="H19" i="1"/>
  <c r="H74" i="1"/>
  <c r="H47" i="1"/>
  <c r="H75" i="1"/>
  <c r="H20" i="1"/>
  <c r="H48" i="1"/>
  <c r="H21" i="1"/>
  <c r="H76" i="1"/>
  <c r="H49" i="1"/>
  <c r="H22" i="1"/>
  <c r="H77" i="1"/>
  <c r="H50" i="1"/>
  <c r="H23" i="1"/>
  <c r="H78" i="1"/>
  <c r="H51" i="1"/>
  <c r="H24" i="1"/>
  <c r="H79" i="1"/>
  <c r="H52" i="1"/>
  <c r="H25" i="1"/>
  <c r="H80" i="1"/>
  <c r="H53" i="1"/>
  <c r="H26" i="1"/>
  <c r="H81" i="1"/>
  <c r="H54" i="1"/>
  <c r="H27" i="1"/>
  <c r="H82" i="1"/>
  <c r="H55" i="1"/>
  <c r="H28" i="1"/>
  <c r="H83" i="1"/>
  <c r="H56" i="1"/>
  <c r="H29" i="1"/>
  <c r="H84" i="1"/>
  <c r="H57" i="1"/>
</calcChain>
</file>

<file path=xl/sharedStrings.xml><?xml version="1.0" encoding="utf-8"?>
<sst xmlns="http://schemas.openxmlformats.org/spreadsheetml/2006/main" count="114" uniqueCount="111">
  <si>
    <t>file</t>
  </si>
  <si>
    <t>vertices</t>
  </si>
  <si>
    <t>parse_ms</t>
  </si>
  <si>
    <t>setup_ms</t>
  </si>
  <si>
    <t>simplify_ms</t>
  </si>
  <si>
    <t>total_ms</t>
  </si>
  <si>
    <t>memory_kb</t>
  </si>
  <si>
    <t>Vertexes_10026__Holes_3.csv</t>
  </si>
  <si>
    <t>Vertexes_100__Holes_5.csv</t>
  </si>
  <si>
    <t>Vertexes_1044__Holes_5.csv</t>
  </si>
  <si>
    <t>Vertexes_104691__Holes_1.csv</t>
  </si>
  <si>
    <t>Vertexes_10903__Holes_1.csv</t>
  </si>
  <si>
    <t>Vertexes_109__Holes_6.csv</t>
  </si>
  <si>
    <t>Vertexes_1135__Holes_3.csv</t>
  </si>
  <si>
    <t>Vertexes_113840__Holes_3.csv</t>
  </si>
  <si>
    <t>Vertexes_11855__Holes_6.csv</t>
  </si>
  <si>
    <t>Vertexes_118__Holes_3.csv</t>
  </si>
  <si>
    <t>Vertexes_1235__Holes_0.csv</t>
  </si>
  <si>
    <t>Vertexes_123788__Holes_4.csv</t>
  </si>
  <si>
    <t>Vertexes_12891__Holes_4.csv</t>
  </si>
  <si>
    <t>Vertexes_129__Holes_0.csv</t>
  </si>
  <si>
    <t>Vertexes_1343__Holes_5.csv</t>
  </si>
  <si>
    <t>Vertexes_134605__Holes_5.csv</t>
  </si>
  <si>
    <t>Vertexes_14018__Holes_3.csv</t>
  </si>
  <si>
    <t>Vertexes_140__Holes_0.csv</t>
  </si>
  <si>
    <t>Vertexes_1460__Holes_1.csv</t>
  </si>
  <si>
    <t>Vertexes_146368__Holes_1.csv</t>
  </si>
  <si>
    <t>Vertexes_15243__Holes_2.csv</t>
  </si>
  <si>
    <t>Vertexes_152__Holes_1.csv</t>
  </si>
  <si>
    <t>Vertexes_1587__Holes_3.csv</t>
  </si>
  <si>
    <t>Vertexes_159159__Holes_5.csv</t>
  </si>
  <si>
    <t>Vertexes_16575__Holes_2.csv</t>
  </si>
  <si>
    <t>Vertexes_165__Holes_6.csv</t>
  </si>
  <si>
    <t>Vertexes_1726__Holes_3.csv</t>
  </si>
  <si>
    <t>Vertexes_173068__Holes_4.csv</t>
  </si>
  <si>
    <t>Vertexes_18023__Holes_3.csv</t>
  </si>
  <si>
    <t>Vertexes_180__Holes_6.csv</t>
  </si>
  <si>
    <t>Vertexes_1877__Holes_1.csv</t>
  </si>
  <si>
    <t>Vertexes_188191__Holes_1.csv</t>
  </si>
  <si>
    <t>Vertexes_19598__Holes_0.csv</t>
  </si>
  <si>
    <t>Vertexes_195__Holes_0.csv</t>
  </si>
  <si>
    <t>Vertexes_2041__Holes_0.csv</t>
  </si>
  <si>
    <t>Vertexes_204637__Holes_6.csv</t>
  </si>
  <si>
    <t>Vertexes_21311__Holes_0.csv</t>
  </si>
  <si>
    <t>Vertexes_213__Holes_2.csv</t>
  </si>
  <si>
    <t>Vertexes_2219__Holes_6.csv</t>
  </si>
  <si>
    <t>Vertexes_222520__Holes_4.csv</t>
  </si>
  <si>
    <t>Vertexes_23173__Holes_2.csv</t>
  </si>
  <si>
    <t>Vertexes_231__Holes_2.csv</t>
  </si>
  <si>
    <t>Vertexes_2413__Holes_1.csv</t>
  </si>
  <si>
    <t>Vertexes_241965__Holes_5.csv</t>
  </si>
  <si>
    <t>Vertexes_25198__Holes_2.csv</t>
  </si>
  <si>
    <t>Vertexes_251__Holes_2.csv</t>
  </si>
  <si>
    <t>Vertexes_2624__Holes_5.csv</t>
  </si>
  <si>
    <t>Vertexes_263110__Holes_5.csv</t>
  </si>
  <si>
    <t>Vertexes_273__Holes_6.csv</t>
  </si>
  <si>
    <t>Vertexes_27400__Holes_5.csv</t>
  </si>
  <si>
    <t>Vertexes_2853__Holes_0.csv</t>
  </si>
  <si>
    <t>Vertexes_286103__Holes_0.csv</t>
  </si>
  <si>
    <t>Vertexes_29795__Holes_3.csv</t>
  </si>
  <si>
    <t>Vertexes_297__Holes_0.csv</t>
  </si>
  <si>
    <t>Vertexes_3103__Holes_4.csv</t>
  </si>
  <si>
    <t>Vertexes_311105__Holes_2.csv</t>
  </si>
  <si>
    <t>Vertexes_32399__Holes_4.csv</t>
  </si>
  <si>
    <t>Vertexes_323__Holes_1.csv</t>
  </si>
  <si>
    <t>Vertexes_3374__Holes_0.csv</t>
  </si>
  <si>
    <t>Vertexes_338292__Holes_4.csv</t>
  </si>
  <si>
    <t>Vertexes_351__Holes_3.csv</t>
  </si>
  <si>
    <t>Vertexes_35230__Holes_2.csv</t>
  </si>
  <si>
    <t>Vertexes_3669__Holes_6.csv</t>
  </si>
  <si>
    <t>Vertexes_367854__Holes_6.csv</t>
  </si>
  <si>
    <t>Vertexes_382__Holes_1.csv</t>
  </si>
  <si>
    <t>Vertexes_38309__Holes_5.csv</t>
  </si>
  <si>
    <t>Vertexes_3989__Holes_6.csv</t>
  </si>
  <si>
    <t>Vertexes_400000__Holes_3.csv</t>
  </si>
  <si>
    <t>Vertexes_415__Holes_5.csv</t>
  </si>
  <si>
    <t>Vertexes_41656__Holes_0.csv</t>
  </si>
  <si>
    <t>Vertexes_4338__Holes_2.csv</t>
  </si>
  <si>
    <t>Vertexes_45296__Holes_3.csv</t>
  </si>
  <si>
    <t>Vertexes_452__Holes_4.csv</t>
  </si>
  <si>
    <t>Vertexes_4717__Holes_6.csv</t>
  </si>
  <si>
    <t>Vertexes_491__Holes_5.csv</t>
  </si>
  <si>
    <t>Vertexes_49255__Holes_0.csv</t>
  </si>
  <si>
    <t>Vertexes_5129__Holes_6.csv</t>
  </si>
  <si>
    <t>Vertexes_534__Holes_1.csv</t>
  </si>
  <si>
    <t>Vertexes_53559__Holes_2.csv</t>
  </si>
  <si>
    <t>Vertexes_5578__Holes_5.csv</t>
  </si>
  <si>
    <t>Vertexes_581__Holes_4.csv</t>
  </si>
  <si>
    <t>Vertexes_58240__Holes_2.csv</t>
  </si>
  <si>
    <t>Vertexes_6065__Holes_0.csv</t>
  </si>
  <si>
    <t>Vertexes_632__Holes_4.csv</t>
  </si>
  <si>
    <t>Vertexes_63329__Holes_3.csv</t>
  </si>
  <si>
    <t>Vertexes_6595__Holes_0.csv</t>
  </si>
  <si>
    <t>Vertexes_687__Holes_1.csv</t>
  </si>
  <si>
    <t>Vertexes_68863__Holes_1.csv</t>
  </si>
  <si>
    <t>Vertexes_7171__Holes_6.csv</t>
  </si>
  <si>
    <t>Vertexes_747__Holes_4.csv</t>
  </si>
  <si>
    <t>Vertexes_74881__Holes_6.csv</t>
  </si>
  <si>
    <t>Vertexes_7798__Holes_3.csv</t>
  </si>
  <si>
    <t>Vertexes_812__Holes_4.csv</t>
  </si>
  <si>
    <t>Vertexes_81425__Holes_2.csv</t>
  </si>
  <si>
    <t>Vertexes_8480__Holes_5.csv</t>
  </si>
  <si>
    <t>Vertexes_883__Holes_1.csv</t>
  </si>
  <si>
    <t>Vertexes_88540__Holes_2.csv</t>
  </si>
  <si>
    <t>Vertexes_9221__Holes_1.csv</t>
  </si>
  <si>
    <t>Vertexes_960__Holes_4.csv</t>
  </si>
  <si>
    <t>Vertexes_96277__Holes_4.csv</t>
  </si>
  <si>
    <t>Holes</t>
  </si>
  <si>
    <t>Row Labels</t>
  </si>
  <si>
    <t>Grand Total</t>
  </si>
  <si>
    <t>Average of vertices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</si>
</sst>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2" fontId="0" fillId="0" borderId="0" xfId="0" applyNumberFormat="1"/>
    <xf numFmtId="2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[benchmark_orignal_analysis.xlsx]Sheet5!PivotTable5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Sheet5!$B$1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Sheet5!$A$2:$A$102</c:f>
              <c:strCache>
                <c:ptCount val="100"/>
                <c:pt idx="0">
                  <c:v>1.77</c:v>
                </c:pt>
                <c:pt idx="1">
                  <c:v>1.78</c:v>
                </c:pt>
                <c:pt idx="2">
                  <c:v>1.79</c:v>
                </c:pt>
                <c:pt idx="3">
                  <c:v>1.81</c:v>
                </c:pt>
                <c:pt idx="4">
                  <c:v>1.87</c:v>
                </c:pt>
                <c:pt idx="5">
                  <c:v>1.90</c:v>
                </c:pt>
                <c:pt idx="6">
                  <c:v>1.94</c:v>
                </c:pt>
                <c:pt idx="7">
                  <c:v>1.94</c:v>
                </c:pt>
                <c:pt idx="8">
                  <c:v>2.12</c:v>
                </c:pt>
                <c:pt idx="9">
                  <c:v>2.21</c:v>
                </c:pt>
                <c:pt idx="10">
                  <c:v>2.44</c:v>
                </c:pt>
                <c:pt idx="11">
                  <c:v>2.56</c:v>
                </c:pt>
                <c:pt idx="12">
                  <c:v>2.65</c:v>
                </c:pt>
                <c:pt idx="13">
                  <c:v>2.69</c:v>
                </c:pt>
                <c:pt idx="14">
                  <c:v>2.70</c:v>
                </c:pt>
                <c:pt idx="15">
                  <c:v>2.78</c:v>
                </c:pt>
                <c:pt idx="16">
                  <c:v>3.02</c:v>
                </c:pt>
                <c:pt idx="17">
                  <c:v>3.17</c:v>
                </c:pt>
                <c:pt idx="18">
                  <c:v>3.17</c:v>
                </c:pt>
                <c:pt idx="19">
                  <c:v>3.26</c:v>
                </c:pt>
                <c:pt idx="20">
                  <c:v>3.38</c:v>
                </c:pt>
                <c:pt idx="21">
                  <c:v>3.43</c:v>
                </c:pt>
                <c:pt idx="22">
                  <c:v>3.57</c:v>
                </c:pt>
                <c:pt idx="23">
                  <c:v>4.34</c:v>
                </c:pt>
                <c:pt idx="24">
                  <c:v>4.59</c:v>
                </c:pt>
                <c:pt idx="25">
                  <c:v>4.63</c:v>
                </c:pt>
                <c:pt idx="26">
                  <c:v>4.74</c:v>
                </c:pt>
                <c:pt idx="27">
                  <c:v>5.19</c:v>
                </c:pt>
                <c:pt idx="28">
                  <c:v>5.53</c:v>
                </c:pt>
                <c:pt idx="29">
                  <c:v>5.73</c:v>
                </c:pt>
                <c:pt idx="30">
                  <c:v>6.32</c:v>
                </c:pt>
                <c:pt idx="31">
                  <c:v>6.75</c:v>
                </c:pt>
                <c:pt idx="32">
                  <c:v>6.85</c:v>
                </c:pt>
                <c:pt idx="33">
                  <c:v>7.21</c:v>
                </c:pt>
                <c:pt idx="34">
                  <c:v>8.06</c:v>
                </c:pt>
                <c:pt idx="35">
                  <c:v>9.19</c:v>
                </c:pt>
                <c:pt idx="36">
                  <c:v>9.50</c:v>
                </c:pt>
                <c:pt idx="37">
                  <c:v>10.17</c:v>
                </c:pt>
                <c:pt idx="38">
                  <c:v>10.79</c:v>
                </c:pt>
                <c:pt idx="39">
                  <c:v>10.99</c:v>
                </c:pt>
                <c:pt idx="40">
                  <c:v>11.09</c:v>
                </c:pt>
                <c:pt idx="41">
                  <c:v>13.83</c:v>
                </c:pt>
                <c:pt idx="42">
                  <c:v>15.15</c:v>
                </c:pt>
                <c:pt idx="43">
                  <c:v>17.58</c:v>
                </c:pt>
                <c:pt idx="44">
                  <c:v>18.51</c:v>
                </c:pt>
                <c:pt idx="45">
                  <c:v>20.21</c:v>
                </c:pt>
                <c:pt idx="46">
                  <c:v>20.26</c:v>
                </c:pt>
                <c:pt idx="47">
                  <c:v>21.10</c:v>
                </c:pt>
                <c:pt idx="48">
                  <c:v>23.20</c:v>
                </c:pt>
                <c:pt idx="49">
                  <c:v>26.04</c:v>
                </c:pt>
                <c:pt idx="50">
                  <c:v>26.18</c:v>
                </c:pt>
                <c:pt idx="51">
                  <c:v>30.65</c:v>
                </c:pt>
                <c:pt idx="52">
                  <c:v>34.64</c:v>
                </c:pt>
                <c:pt idx="53">
                  <c:v>35.73</c:v>
                </c:pt>
                <c:pt idx="54">
                  <c:v>42.37</c:v>
                </c:pt>
                <c:pt idx="55">
                  <c:v>48.32</c:v>
                </c:pt>
                <c:pt idx="56">
                  <c:v>50.85</c:v>
                </c:pt>
                <c:pt idx="57">
                  <c:v>54.01</c:v>
                </c:pt>
                <c:pt idx="58">
                  <c:v>57.60</c:v>
                </c:pt>
                <c:pt idx="59">
                  <c:v>67.05</c:v>
                </c:pt>
                <c:pt idx="60">
                  <c:v>67.64</c:v>
                </c:pt>
                <c:pt idx="61">
                  <c:v>86.56</c:v>
                </c:pt>
                <c:pt idx="62">
                  <c:v>93.44</c:v>
                </c:pt>
                <c:pt idx="63">
                  <c:v>96.04</c:v>
                </c:pt>
                <c:pt idx="64">
                  <c:v>96.48</c:v>
                </c:pt>
                <c:pt idx="65">
                  <c:v>110.28</c:v>
                </c:pt>
                <c:pt idx="66">
                  <c:v>163.85</c:v>
                </c:pt>
                <c:pt idx="67">
                  <c:v>169.90</c:v>
                </c:pt>
                <c:pt idx="68">
                  <c:v>177.10</c:v>
                </c:pt>
                <c:pt idx="69">
                  <c:v>181.42</c:v>
                </c:pt>
                <c:pt idx="70">
                  <c:v>187.95</c:v>
                </c:pt>
                <c:pt idx="71">
                  <c:v>196.35</c:v>
                </c:pt>
                <c:pt idx="72">
                  <c:v>197.07</c:v>
                </c:pt>
                <c:pt idx="73">
                  <c:v>216.33</c:v>
                </c:pt>
                <c:pt idx="74">
                  <c:v>298.22</c:v>
                </c:pt>
                <c:pt idx="75">
                  <c:v>349.58</c:v>
                </c:pt>
                <c:pt idx="76">
                  <c:v>381.93</c:v>
                </c:pt>
                <c:pt idx="77">
                  <c:v>490.01</c:v>
                </c:pt>
                <c:pt idx="78">
                  <c:v>539.89</c:v>
                </c:pt>
                <c:pt idx="79">
                  <c:v>618.89</c:v>
                </c:pt>
                <c:pt idx="80">
                  <c:v>640.56</c:v>
                </c:pt>
                <c:pt idx="81">
                  <c:v>654.94</c:v>
                </c:pt>
                <c:pt idx="82">
                  <c:v>826.50</c:v>
                </c:pt>
                <c:pt idx="83">
                  <c:v>1061.48</c:v>
                </c:pt>
                <c:pt idx="84">
                  <c:v>1071.95</c:v>
                </c:pt>
                <c:pt idx="85">
                  <c:v>1100.97</c:v>
                </c:pt>
                <c:pt idx="86">
                  <c:v>1299.57</c:v>
                </c:pt>
                <c:pt idx="87">
                  <c:v>1372.51</c:v>
                </c:pt>
                <c:pt idx="88">
                  <c:v>1694.59</c:v>
                </c:pt>
                <c:pt idx="89">
                  <c:v>1748.39</c:v>
                </c:pt>
                <c:pt idx="90">
                  <c:v>1784.11</c:v>
                </c:pt>
                <c:pt idx="91">
                  <c:v>2825.28</c:v>
                </c:pt>
                <c:pt idx="92">
                  <c:v>3164.03</c:v>
                </c:pt>
                <c:pt idx="93">
                  <c:v>3170.36</c:v>
                </c:pt>
                <c:pt idx="94">
                  <c:v>3765.09</c:v>
                </c:pt>
                <c:pt idx="95">
                  <c:v>4266.85</c:v>
                </c:pt>
                <c:pt idx="96">
                  <c:v>7033.09</c:v>
                </c:pt>
                <c:pt idx="97">
                  <c:v>7535.61</c:v>
                </c:pt>
                <c:pt idx="98">
                  <c:v>11014.43</c:v>
                </c:pt>
                <c:pt idx="99">
                  <c:v>13029.82</c:v>
                </c:pt>
              </c:strCache>
            </c:strRef>
          </c:cat>
          <c:val>
            <c:numRef>
              <c:f>Sheet5!$B$2:$B$102</c:f>
              <c:numCache>
                <c:formatCode>0.00</c:formatCode>
                <c:ptCount val="100"/>
                <c:pt idx="0">
                  <c:v>129</c:v>
                </c:pt>
                <c:pt idx="1">
                  <c:v>100</c:v>
                </c:pt>
                <c:pt idx="2">
                  <c:v>140</c:v>
                </c:pt>
                <c:pt idx="3">
                  <c:v>109</c:v>
                </c:pt>
                <c:pt idx="4">
                  <c:v>118</c:v>
                </c:pt>
                <c:pt idx="5">
                  <c:v>152</c:v>
                </c:pt>
                <c:pt idx="6">
                  <c:v>165</c:v>
                </c:pt>
                <c:pt idx="7">
                  <c:v>180</c:v>
                </c:pt>
                <c:pt idx="8">
                  <c:v>231</c:v>
                </c:pt>
                <c:pt idx="9">
                  <c:v>213</c:v>
                </c:pt>
                <c:pt idx="10">
                  <c:v>251</c:v>
                </c:pt>
                <c:pt idx="11">
                  <c:v>195</c:v>
                </c:pt>
                <c:pt idx="12">
                  <c:v>351</c:v>
                </c:pt>
                <c:pt idx="13">
                  <c:v>297</c:v>
                </c:pt>
                <c:pt idx="14">
                  <c:v>323</c:v>
                </c:pt>
                <c:pt idx="15">
                  <c:v>382</c:v>
                </c:pt>
                <c:pt idx="16">
                  <c:v>415</c:v>
                </c:pt>
                <c:pt idx="17">
                  <c:v>273</c:v>
                </c:pt>
                <c:pt idx="18">
                  <c:v>491</c:v>
                </c:pt>
                <c:pt idx="19">
                  <c:v>452</c:v>
                </c:pt>
                <c:pt idx="20">
                  <c:v>534</c:v>
                </c:pt>
                <c:pt idx="21">
                  <c:v>581</c:v>
                </c:pt>
                <c:pt idx="22">
                  <c:v>632</c:v>
                </c:pt>
                <c:pt idx="23">
                  <c:v>687</c:v>
                </c:pt>
                <c:pt idx="24">
                  <c:v>747</c:v>
                </c:pt>
                <c:pt idx="25">
                  <c:v>812</c:v>
                </c:pt>
                <c:pt idx="26">
                  <c:v>960</c:v>
                </c:pt>
                <c:pt idx="27">
                  <c:v>883</c:v>
                </c:pt>
                <c:pt idx="28">
                  <c:v>1135</c:v>
                </c:pt>
                <c:pt idx="29">
                  <c:v>1044</c:v>
                </c:pt>
                <c:pt idx="30">
                  <c:v>1235</c:v>
                </c:pt>
                <c:pt idx="31">
                  <c:v>1343</c:v>
                </c:pt>
                <c:pt idx="32">
                  <c:v>1460</c:v>
                </c:pt>
                <c:pt idx="33">
                  <c:v>1587</c:v>
                </c:pt>
                <c:pt idx="34">
                  <c:v>1726</c:v>
                </c:pt>
                <c:pt idx="35">
                  <c:v>1877</c:v>
                </c:pt>
                <c:pt idx="36">
                  <c:v>2219</c:v>
                </c:pt>
                <c:pt idx="37">
                  <c:v>2041</c:v>
                </c:pt>
                <c:pt idx="38">
                  <c:v>2413</c:v>
                </c:pt>
                <c:pt idx="39">
                  <c:v>2624</c:v>
                </c:pt>
                <c:pt idx="40">
                  <c:v>2853</c:v>
                </c:pt>
                <c:pt idx="41">
                  <c:v>3103</c:v>
                </c:pt>
                <c:pt idx="42">
                  <c:v>3669</c:v>
                </c:pt>
                <c:pt idx="43">
                  <c:v>3989</c:v>
                </c:pt>
                <c:pt idx="44">
                  <c:v>3374</c:v>
                </c:pt>
                <c:pt idx="45">
                  <c:v>4338</c:v>
                </c:pt>
                <c:pt idx="46">
                  <c:v>5129</c:v>
                </c:pt>
                <c:pt idx="47">
                  <c:v>4717</c:v>
                </c:pt>
                <c:pt idx="48">
                  <c:v>6065</c:v>
                </c:pt>
                <c:pt idx="49">
                  <c:v>6595</c:v>
                </c:pt>
                <c:pt idx="50">
                  <c:v>5578</c:v>
                </c:pt>
                <c:pt idx="51">
                  <c:v>7171</c:v>
                </c:pt>
                <c:pt idx="52">
                  <c:v>8480</c:v>
                </c:pt>
                <c:pt idx="53">
                  <c:v>7798</c:v>
                </c:pt>
                <c:pt idx="54">
                  <c:v>10026</c:v>
                </c:pt>
                <c:pt idx="55">
                  <c:v>10903</c:v>
                </c:pt>
                <c:pt idx="56">
                  <c:v>11855</c:v>
                </c:pt>
                <c:pt idx="57">
                  <c:v>9221</c:v>
                </c:pt>
                <c:pt idx="58">
                  <c:v>14018</c:v>
                </c:pt>
                <c:pt idx="59">
                  <c:v>16575</c:v>
                </c:pt>
                <c:pt idx="60">
                  <c:v>12891</c:v>
                </c:pt>
                <c:pt idx="61">
                  <c:v>21311</c:v>
                </c:pt>
                <c:pt idx="62">
                  <c:v>15243</c:v>
                </c:pt>
                <c:pt idx="63">
                  <c:v>18023</c:v>
                </c:pt>
                <c:pt idx="64">
                  <c:v>23173</c:v>
                </c:pt>
                <c:pt idx="65">
                  <c:v>27400</c:v>
                </c:pt>
                <c:pt idx="66">
                  <c:v>38309</c:v>
                </c:pt>
                <c:pt idx="67">
                  <c:v>29795</c:v>
                </c:pt>
                <c:pt idx="68">
                  <c:v>32399</c:v>
                </c:pt>
                <c:pt idx="69">
                  <c:v>25198</c:v>
                </c:pt>
                <c:pt idx="70">
                  <c:v>19598</c:v>
                </c:pt>
                <c:pt idx="71">
                  <c:v>35230</c:v>
                </c:pt>
                <c:pt idx="72">
                  <c:v>45296</c:v>
                </c:pt>
                <c:pt idx="73">
                  <c:v>49255</c:v>
                </c:pt>
                <c:pt idx="74">
                  <c:v>63329</c:v>
                </c:pt>
                <c:pt idx="75">
                  <c:v>74881</c:v>
                </c:pt>
                <c:pt idx="76">
                  <c:v>58240</c:v>
                </c:pt>
                <c:pt idx="77">
                  <c:v>53559</c:v>
                </c:pt>
                <c:pt idx="78">
                  <c:v>104691</c:v>
                </c:pt>
                <c:pt idx="79">
                  <c:v>81425</c:v>
                </c:pt>
                <c:pt idx="80">
                  <c:v>123788</c:v>
                </c:pt>
                <c:pt idx="81">
                  <c:v>41656</c:v>
                </c:pt>
                <c:pt idx="82">
                  <c:v>96277</c:v>
                </c:pt>
                <c:pt idx="83">
                  <c:v>173068</c:v>
                </c:pt>
                <c:pt idx="84">
                  <c:v>88540</c:v>
                </c:pt>
                <c:pt idx="85">
                  <c:v>68863</c:v>
                </c:pt>
                <c:pt idx="86">
                  <c:v>204637</c:v>
                </c:pt>
                <c:pt idx="87">
                  <c:v>134605</c:v>
                </c:pt>
                <c:pt idx="88">
                  <c:v>113840</c:v>
                </c:pt>
                <c:pt idx="89">
                  <c:v>159159</c:v>
                </c:pt>
                <c:pt idx="90">
                  <c:v>286103</c:v>
                </c:pt>
                <c:pt idx="91">
                  <c:v>338292</c:v>
                </c:pt>
                <c:pt idx="92">
                  <c:v>241965</c:v>
                </c:pt>
                <c:pt idx="93">
                  <c:v>222520</c:v>
                </c:pt>
                <c:pt idx="94">
                  <c:v>146368</c:v>
                </c:pt>
                <c:pt idx="95">
                  <c:v>263110</c:v>
                </c:pt>
                <c:pt idx="96">
                  <c:v>188191</c:v>
                </c:pt>
                <c:pt idx="97">
                  <c:v>367854</c:v>
                </c:pt>
                <c:pt idx="98">
                  <c:v>400000</c:v>
                </c:pt>
                <c:pt idx="99">
                  <c:v>311105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09-4F21-A79C-0DE7D15B5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27423"/>
        <c:axId val="298316863"/>
      </c:lineChart>
      <c:catAx>
        <c:axId val="2983274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Total Run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16863"/>
        <c:crosses val="autoZero"/>
        <c:auto val="1"/>
        <c:lblAlgn val="ctr"/>
        <c:lblOffset val="100"/>
        <c:noMultiLvlLbl val="0"/>
      </c:catAx>
      <c:valAx>
        <c:axId val="298316863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Average Vertex 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2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[benchmark_orignal_analysis.xlsx]Sheet6!PivotTable6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Sheet6!$B$1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Sheet6!$A$2:$A$82</c:f>
              <c:strCache>
                <c:ptCount val="80"/>
                <c:pt idx="0">
                  <c:v>6088.00</c:v>
                </c:pt>
                <c:pt idx="1">
                  <c:v>6220.00</c:v>
                </c:pt>
                <c:pt idx="2">
                  <c:v>6224.00</c:v>
                </c:pt>
                <c:pt idx="3">
                  <c:v>6228.00</c:v>
                </c:pt>
                <c:pt idx="4">
                  <c:v>6356.00</c:v>
                </c:pt>
                <c:pt idx="5">
                  <c:v>6360.00</c:v>
                </c:pt>
                <c:pt idx="6">
                  <c:v>6372.00</c:v>
                </c:pt>
                <c:pt idx="7">
                  <c:v>6388.00</c:v>
                </c:pt>
                <c:pt idx="8">
                  <c:v>6400.00</c:v>
                </c:pt>
                <c:pt idx="9">
                  <c:v>6416.00</c:v>
                </c:pt>
                <c:pt idx="10">
                  <c:v>6540.00</c:v>
                </c:pt>
                <c:pt idx="11">
                  <c:v>6552.00</c:v>
                </c:pt>
                <c:pt idx="12">
                  <c:v>6560.00</c:v>
                </c:pt>
                <c:pt idx="13">
                  <c:v>6592.00</c:v>
                </c:pt>
                <c:pt idx="14">
                  <c:v>6600.00</c:v>
                </c:pt>
                <c:pt idx="15">
                  <c:v>6688.00</c:v>
                </c:pt>
                <c:pt idx="16">
                  <c:v>6720.00</c:v>
                </c:pt>
                <c:pt idx="17">
                  <c:v>6788.00</c:v>
                </c:pt>
                <c:pt idx="18">
                  <c:v>6840.00</c:v>
                </c:pt>
                <c:pt idx="19">
                  <c:v>6860.00</c:v>
                </c:pt>
                <c:pt idx="20">
                  <c:v>7060.00</c:v>
                </c:pt>
                <c:pt idx="21">
                  <c:v>7064.00</c:v>
                </c:pt>
                <c:pt idx="22">
                  <c:v>7144.00</c:v>
                </c:pt>
                <c:pt idx="23">
                  <c:v>7208.00</c:v>
                </c:pt>
                <c:pt idx="24">
                  <c:v>7288.00</c:v>
                </c:pt>
                <c:pt idx="25">
                  <c:v>7536.00</c:v>
                </c:pt>
                <c:pt idx="26">
                  <c:v>7556.00</c:v>
                </c:pt>
                <c:pt idx="27">
                  <c:v>7660.00</c:v>
                </c:pt>
                <c:pt idx="28">
                  <c:v>7884.00</c:v>
                </c:pt>
                <c:pt idx="29">
                  <c:v>7992.00</c:v>
                </c:pt>
                <c:pt idx="30">
                  <c:v>8116.00</c:v>
                </c:pt>
                <c:pt idx="31">
                  <c:v>8224.00</c:v>
                </c:pt>
                <c:pt idx="32">
                  <c:v>8316.00</c:v>
                </c:pt>
                <c:pt idx="33">
                  <c:v>8772.00</c:v>
                </c:pt>
                <c:pt idx="34">
                  <c:v>8924.00</c:v>
                </c:pt>
                <c:pt idx="35">
                  <c:v>9216.00</c:v>
                </c:pt>
                <c:pt idx="36">
                  <c:v>9300.00</c:v>
                </c:pt>
                <c:pt idx="37">
                  <c:v>9632.00</c:v>
                </c:pt>
                <c:pt idx="38">
                  <c:v>10260.00</c:v>
                </c:pt>
                <c:pt idx="39">
                  <c:v>10364.00</c:v>
                </c:pt>
                <c:pt idx="40">
                  <c:v>11176.00</c:v>
                </c:pt>
                <c:pt idx="41">
                  <c:v>11272.00</c:v>
                </c:pt>
                <c:pt idx="42">
                  <c:v>11580.00</c:v>
                </c:pt>
                <c:pt idx="43">
                  <c:v>12184.00</c:v>
                </c:pt>
                <c:pt idx="44">
                  <c:v>12572.00</c:v>
                </c:pt>
                <c:pt idx="45">
                  <c:v>13312.00</c:v>
                </c:pt>
                <c:pt idx="46">
                  <c:v>14676.00</c:v>
                </c:pt>
                <c:pt idx="47">
                  <c:v>15168.00</c:v>
                </c:pt>
                <c:pt idx="48">
                  <c:v>15484.00</c:v>
                </c:pt>
                <c:pt idx="49">
                  <c:v>16952.00</c:v>
                </c:pt>
                <c:pt idx="50">
                  <c:v>17052.00</c:v>
                </c:pt>
                <c:pt idx="51">
                  <c:v>17360.00</c:v>
                </c:pt>
                <c:pt idx="52">
                  <c:v>18928.00</c:v>
                </c:pt>
                <c:pt idx="53">
                  <c:v>19716.00</c:v>
                </c:pt>
                <c:pt idx="54">
                  <c:v>23000.00</c:v>
                </c:pt>
                <c:pt idx="55">
                  <c:v>24040.00</c:v>
                </c:pt>
                <c:pt idx="56">
                  <c:v>26552.00</c:v>
                </c:pt>
                <c:pt idx="57">
                  <c:v>27448.00</c:v>
                </c:pt>
                <c:pt idx="58">
                  <c:v>28136.00</c:v>
                </c:pt>
                <c:pt idx="59">
                  <c:v>30008.00</c:v>
                </c:pt>
                <c:pt idx="60">
                  <c:v>31560.00</c:v>
                </c:pt>
                <c:pt idx="61">
                  <c:v>34160.00</c:v>
                </c:pt>
                <c:pt idx="62">
                  <c:v>39852.00</c:v>
                </c:pt>
                <c:pt idx="63">
                  <c:v>40168.00</c:v>
                </c:pt>
                <c:pt idx="64">
                  <c:v>42480.00</c:v>
                </c:pt>
                <c:pt idx="65">
                  <c:v>46540.00</c:v>
                </c:pt>
                <c:pt idx="66">
                  <c:v>50264.00</c:v>
                </c:pt>
                <c:pt idx="67">
                  <c:v>51484.00</c:v>
                </c:pt>
                <c:pt idx="68">
                  <c:v>51632.00</c:v>
                </c:pt>
                <c:pt idx="69">
                  <c:v>56980.00</c:v>
                </c:pt>
                <c:pt idx="70">
                  <c:v>71924.00</c:v>
                </c:pt>
                <c:pt idx="71">
                  <c:v>72400.00</c:v>
                </c:pt>
                <c:pt idx="72">
                  <c:v>83224.00</c:v>
                </c:pt>
                <c:pt idx="73">
                  <c:v>86644.00</c:v>
                </c:pt>
                <c:pt idx="74">
                  <c:v>91736.00</c:v>
                </c:pt>
                <c:pt idx="75">
                  <c:v>92700.00</c:v>
                </c:pt>
                <c:pt idx="76">
                  <c:v>94076.00</c:v>
                </c:pt>
                <c:pt idx="77">
                  <c:v>101704.00</c:v>
                </c:pt>
                <c:pt idx="78">
                  <c:v>131676.00</c:v>
                </c:pt>
                <c:pt idx="79">
                  <c:v>146100.00</c:v>
                </c:pt>
              </c:strCache>
            </c:strRef>
          </c:cat>
          <c:val>
            <c:numRef>
              <c:f>Sheet6!$B$2:$B$82</c:f>
              <c:numCache>
                <c:formatCode>0.00</c:formatCode>
                <c:ptCount val="80"/>
                <c:pt idx="0">
                  <c:v>130.42857142857142</c:v>
                </c:pt>
                <c:pt idx="1">
                  <c:v>372</c:v>
                </c:pt>
                <c:pt idx="2">
                  <c:v>275.33333333333331</c:v>
                </c:pt>
                <c:pt idx="3">
                  <c:v>251</c:v>
                </c:pt>
                <c:pt idx="4">
                  <c:v>823.5</c:v>
                </c:pt>
                <c:pt idx="5">
                  <c:v>812</c:v>
                </c:pt>
                <c:pt idx="6">
                  <c:v>757.5</c:v>
                </c:pt>
                <c:pt idx="7">
                  <c:v>747</c:v>
                </c:pt>
                <c:pt idx="8">
                  <c:v>1135</c:v>
                </c:pt>
                <c:pt idx="9">
                  <c:v>1044</c:v>
                </c:pt>
                <c:pt idx="10">
                  <c:v>1343</c:v>
                </c:pt>
                <c:pt idx="11">
                  <c:v>1460</c:v>
                </c:pt>
                <c:pt idx="12">
                  <c:v>1726</c:v>
                </c:pt>
                <c:pt idx="13">
                  <c:v>1587</c:v>
                </c:pt>
                <c:pt idx="14">
                  <c:v>1235</c:v>
                </c:pt>
                <c:pt idx="15">
                  <c:v>1877</c:v>
                </c:pt>
                <c:pt idx="16">
                  <c:v>2041</c:v>
                </c:pt>
                <c:pt idx="17">
                  <c:v>2219</c:v>
                </c:pt>
                <c:pt idx="18">
                  <c:v>2624</c:v>
                </c:pt>
                <c:pt idx="19">
                  <c:v>2413</c:v>
                </c:pt>
                <c:pt idx="20">
                  <c:v>2853</c:v>
                </c:pt>
                <c:pt idx="21">
                  <c:v>3103</c:v>
                </c:pt>
                <c:pt idx="22">
                  <c:v>3669</c:v>
                </c:pt>
                <c:pt idx="23">
                  <c:v>3374</c:v>
                </c:pt>
                <c:pt idx="24">
                  <c:v>3989</c:v>
                </c:pt>
                <c:pt idx="25">
                  <c:v>4338</c:v>
                </c:pt>
                <c:pt idx="26">
                  <c:v>4717</c:v>
                </c:pt>
                <c:pt idx="27">
                  <c:v>5129</c:v>
                </c:pt>
                <c:pt idx="28">
                  <c:v>5578</c:v>
                </c:pt>
                <c:pt idx="29">
                  <c:v>6065</c:v>
                </c:pt>
                <c:pt idx="30">
                  <c:v>6595</c:v>
                </c:pt>
                <c:pt idx="31">
                  <c:v>7171</c:v>
                </c:pt>
                <c:pt idx="32">
                  <c:v>7798</c:v>
                </c:pt>
                <c:pt idx="33">
                  <c:v>8480</c:v>
                </c:pt>
                <c:pt idx="34">
                  <c:v>10026</c:v>
                </c:pt>
                <c:pt idx="35">
                  <c:v>9221</c:v>
                </c:pt>
                <c:pt idx="36">
                  <c:v>10903</c:v>
                </c:pt>
                <c:pt idx="37">
                  <c:v>11855</c:v>
                </c:pt>
                <c:pt idx="38">
                  <c:v>14018</c:v>
                </c:pt>
                <c:pt idx="39">
                  <c:v>12891</c:v>
                </c:pt>
                <c:pt idx="40">
                  <c:v>15243</c:v>
                </c:pt>
                <c:pt idx="41">
                  <c:v>16575</c:v>
                </c:pt>
                <c:pt idx="42">
                  <c:v>18023</c:v>
                </c:pt>
                <c:pt idx="43">
                  <c:v>21311</c:v>
                </c:pt>
                <c:pt idx="44">
                  <c:v>23173</c:v>
                </c:pt>
                <c:pt idx="45">
                  <c:v>27400</c:v>
                </c:pt>
                <c:pt idx="46">
                  <c:v>19598</c:v>
                </c:pt>
                <c:pt idx="47">
                  <c:v>29795</c:v>
                </c:pt>
                <c:pt idx="48">
                  <c:v>25198</c:v>
                </c:pt>
                <c:pt idx="49">
                  <c:v>32399</c:v>
                </c:pt>
                <c:pt idx="50">
                  <c:v>35230</c:v>
                </c:pt>
                <c:pt idx="51">
                  <c:v>38309</c:v>
                </c:pt>
                <c:pt idx="52">
                  <c:v>45296</c:v>
                </c:pt>
                <c:pt idx="53">
                  <c:v>49255</c:v>
                </c:pt>
                <c:pt idx="54">
                  <c:v>58240</c:v>
                </c:pt>
                <c:pt idx="55">
                  <c:v>63329</c:v>
                </c:pt>
                <c:pt idx="56">
                  <c:v>53559</c:v>
                </c:pt>
                <c:pt idx="57">
                  <c:v>41656</c:v>
                </c:pt>
                <c:pt idx="58">
                  <c:v>74881</c:v>
                </c:pt>
                <c:pt idx="59">
                  <c:v>81425</c:v>
                </c:pt>
                <c:pt idx="60">
                  <c:v>96277</c:v>
                </c:pt>
                <c:pt idx="61">
                  <c:v>104691</c:v>
                </c:pt>
                <c:pt idx="62">
                  <c:v>123788</c:v>
                </c:pt>
                <c:pt idx="63">
                  <c:v>68863</c:v>
                </c:pt>
                <c:pt idx="64">
                  <c:v>88540</c:v>
                </c:pt>
                <c:pt idx="65">
                  <c:v>134605</c:v>
                </c:pt>
                <c:pt idx="66">
                  <c:v>159159</c:v>
                </c:pt>
                <c:pt idx="67">
                  <c:v>113840</c:v>
                </c:pt>
                <c:pt idx="68">
                  <c:v>173068</c:v>
                </c:pt>
                <c:pt idx="69">
                  <c:v>204637</c:v>
                </c:pt>
                <c:pt idx="70">
                  <c:v>222520</c:v>
                </c:pt>
                <c:pt idx="71">
                  <c:v>146368</c:v>
                </c:pt>
                <c:pt idx="72">
                  <c:v>263110</c:v>
                </c:pt>
                <c:pt idx="73">
                  <c:v>286103</c:v>
                </c:pt>
                <c:pt idx="74">
                  <c:v>241965</c:v>
                </c:pt>
                <c:pt idx="75">
                  <c:v>338292</c:v>
                </c:pt>
                <c:pt idx="76">
                  <c:v>188191</c:v>
                </c:pt>
                <c:pt idx="77">
                  <c:v>367854</c:v>
                </c:pt>
                <c:pt idx="78">
                  <c:v>311105</c:v>
                </c:pt>
                <c:pt idx="79">
                  <c:v>400000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A-488C-8D56-836ED72A0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8355743"/>
        <c:axId val="298368223"/>
      </c:lineChart>
      <c:catAx>
        <c:axId val="2983557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Peak</a:t>
                </a:r>
                <a:r>
                  <a:rPr lang="en-SG" baseline="0"/>
                  <a:t> Memory Usage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68223"/>
        <c:crosses val="autoZero"/>
        <c:auto val="1"/>
        <c:lblAlgn val="ctr"/>
        <c:lblOffset val="100"/>
        <c:noMultiLvlLbl val="0"/>
      </c:catAx>
      <c:valAx>
        <c:axId val="298368223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SG"/>
                  <a:t>Average</a:t>
                </a:r>
                <a:r>
                  <a:rPr lang="en-SG" baseline="0"/>
                  <a:t> Vertex Count</a:t>
                </a:r>
                <a:endParaRPr lang="en-S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8355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24491</xdr:colOff>
      <xdr:row>2</xdr:row>
      <xdr:rowOff>6804</xdr:rowOff>
    </xdr:from>
    <xdr:to>
      <xdr:col>11</xdr:col>
      <xdr:colOff>76199</xdr:colOff>
      <xdr:row>29</xdr:row>
      <xdr:rowOff>6804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0DE1A-94CF-F2CC-452C-6A57DAFF3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9523</xdr:rowOff>
    </xdr:from>
    <xdr:to>
      <xdr:col>12</xdr:col>
      <xdr:colOff>209550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1AC53-5DDC-6E72-C42C-0994F35DA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ng Xian Cheng" refreshedDate="46115.540964814812" createdVersion="8" refreshedVersion="8" minRefreshableVersion="3" recordCount="100" xr:uid="{F1ECAC2A-8683-49EC-BF9E-C843B1C049A3}">
  <cacheSource type="worksheet">
    <worksheetSource ref="B1:H101" sheet="benchmark_orignal_results"/>
  </cacheSource>
  <cacheFields count="7">
    <cacheField name="vertices" numFmtId="2">
      <sharedItems containsSemiMixedTypes="0" containsString="0" containsNumber="1" containsInteger="1" minValue="100" maxValue="400000" count="100">
        <n v="100"/>
        <n v="109"/>
        <n v="118"/>
        <n v="129"/>
        <n v="140"/>
        <n v="152"/>
        <n v="165"/>
        <n v="180"/>
        <n v="195"/>
        <n v="213"/>
        <n v="231"/>
        <n v="251"/>
        <n v="273"/>
        <n v="297"/>
        <n v="323"/>
        <n v="351"/>
        <n v="382"/>
        <n v="415"/>
        <n v="452"/>
        <n v="491"/>
        <n v="534"/>
        <n v="581"/>
        <n v="632"/>
        <n v="687"/>
        <n v="747"/>
        <n v="812"/>
        <n v="883"/>
        <n v="960"/>
        <n v="1044"/>
        <n v="1135"/>
        <n v="1235"/>
        <n v="1343"/>
        <n v="1460"/>
        <n v="1587"/>
        <n v="1726"/>
        <n v="1877"/>
        <n v="2041"/>
        <n v="2219"/>
        <n v="2413"/>
        <n v="2624"/>
        <n v="2853"/>
        <n v="3103"/>
        <n v="3374"/>
        <n v="3669"/>
        <n v="3989"/>
        <n v="4338"/>
        <n v="4717"/>
        <n v="5129"/>
        <n v="5578"/>
        <n v="6065"/>
        <n v="6595"/>
        <n v="7171"/>
        <n v="7798"/>
        <n v="8480"/>
        <n v="9221"/>
        <n v="10026"/>
        <n v="10903"/>
        <n v="11855"/>
        <n v="12891"/>
        <n v="14018"/>
        <n v="15243"/>
        <n v="16575"/>
        <n v="18023"/>
        <n v="19598"/>
        <n v="21311"/>
        <n v="23173"/>
        <n v="25198"/>
        <n v="27400"/>
        <n v="29795"/>
        <n v="32399"/>
        <n v="35230"/>
        <n v="38309"/>
        <n v="41656"/>
        <n v="45296"/>
        <n v="49255"/>
        <n v="53559"/>
        <n v="58240"/>
        <n v="63329"/>
        <n v="68863"/>
        <n v="74881"/>
        <n v="81425"/>
        <n v="88540"/>
        <n v="96277"/>
        <n v="104691"/>
        <n v="113840"/>
        <n v="123788"/>
        <n v="134605"/>
        <n v="146368"/>
        <n v="159159"/>
        <n v="173068"/>
        <n v="188191"/>
        <n v="204637"/>
        <n v="222520"/>
        <n v="241965"/>
        <n v="263110"/>
        <n v="286103"/>
        <n v="311105"/>
        <n v="338292"/>
        <n v="367854"/>
        <n v="400000"/>
      </sharedItems>
    </cacheField>
    <cacheField name="parse_ms" numFmtId="2">
      <sharedItems containsSemiMixedTypes="0" containsString="0" containsNumber="1" minValue="1.552" maxValue="382.95800000000003"/>
    </cacheField>
    <cacheField name="setup_ms" numFmtId="2">
      <sharedItems containsSemiMixedTypes="0" containsString="0" containsNumber="1" minValue="4.9000000000000002E-2" maxValue="169.495"/>
    </cacheField>
    <cacheField name="simplify_ms" numFmtId="2">
      <sharedItems containsSemiMixedTypes="0" containsString="0" containsNumber="1" minValue="5.0000000000000001E-3" maxValue="12596.084999999999"/>
    </cacheField>
    <cacheField name="total_ms" numFmtId="2">
      <sharedItems containsSemiMixedTypes="0" containsString="0" containsNumber="1" minValue="1.7669999999999999" maxValue="13029.816000000001" count="100">
        <n v="1.782"/>
        <n v="1.8080000000000001"/>
        <n v="1.87"/>
        <n v="1.7669999999999999"/>
        <n v="1.788"/>
        <n v="1.895"/>
        <n v="1.9419999999999999"/>
        <n v="1.9430000000000001"/>
        <n v="2.5640000000000001"/>
        <n v="2.21"/>
        <n v="2.1150000000000002"/>
        <n v="2.4350000000000001"/>
        <n v="3.165"/>
        <n v="2.6890000000000001"/>
        <n v="2.702"/>
        <n v="2.6469999999999998"/>
        <n v="2.7789999999999999"/>
        <n v="3.0169999999999999"/>
        <n v="3.2570000000000001"/>
        <n v="3.1669999999999998"/>
        <n v="3.3759999999999999"/>
        <n v="3.4279999999999999"/>
        <n v="3.5739999999999998"/>
        <n v="4.3369999999999997"/>
        <n v="4.5919999999999996"/>
        <n v="4.625"/>
        <n v="5.1879999999999997"/>
        <n v="4.7439999999999998"/>
        <n v="5.7279999999999998"/>
        <n v="5.5279999999999996"/>
        <n v="6.3179999999999996"/>
        <n v="6.7510000000000003"/>
        <n v="6.8490000000000002"/>
        <n v="7.2089999999999996"/>
        <n v="8.0619999999999994"/>
        <n v="9.19"/>
        <n v="10.170999999999999"/>
        <n v="9.4979999999999993"/>
        <n v="10.789"/>
        <n v="10.987"/>
        <n v="11.085000000000001"/>
        <n v="13.834"/>
        <n v="18.510999999999999"/>
        <n v="15.148"/>
        <n v="17.579999999999998"/>
        <n v="20.213999999999999"/>
        <n v="21.102"/>
        <n v="20.260000000000002"/>
        <n v="26.178000000000001"/>
        <n v="23.2"/>
        <n v="26.036999999999999"/>
        <n v="30.648"/>
        <n v="35.728999999999999"/>
        <n v="34.637999999999998"/>
        <n v="54.008000000000003"/>
        <n v="42.365000000000002"/>
        <n v="48.323999999999998"/>
        <n v="50.85"/>
        <n v="67.641000000000005"/>
        <n v="57.597000000000001"/>
        <n v="93.44"/>
        <n v="67.046999999999997"/>
        <n v="96.034999999999997"/>
        <n v="187.952"/>
        <n v="86.563000000000002"/>
        <n v="96.483999999999995"/>
        <n v="181.42"/>
        <n v="110.276"/>
        <n v="169.90299999999999"/>
        <n v="177.096"/>
        <n v="196.345"/>
        <n v="163.84800000000001"/>
        <n v="654.93799999999999"/>
        <n v="197.07300000000001"/>
        <n v="216.33"/>
        <n v="490.00900000000001"/>
        <n v="381.93"/>
        <n v="298.22399999999999"/>
        <n v="1100.9649999999999"/>
        <n v="349.57600000000002"/>
        <n v="618.88800000000003"/>
        <n v="1071.95"/>
        <n v="826.50400000000002"/>
        <n v="539.89200000000005"/>
        <n v="1694.586"/>
        <n v="640.55999999999995"/>
        <n v="1372.509"/>
        <n v="3765.09"/>
        <n v="1748.394"/>
        <n v="1061.4760000000001"/>
        <n v="7033.0870000000004"/>
        <n v="1299.5650000000001"/>
        <n v="3170.357"/>
        <n v="3164.0329999999999"/>
        <n v="4266.8509999999997"/>
        <n v="1784.11"/>
        <n v="13029.816000000001"/>
        <n v="2825.2829999999999"/>
        <n v="7535.6130000000003"/>
        <n v="11014.428"/>
      </sharedItems>
    </cacheField>
    <cacheField name="memory_kb" numFmtId="2">
      <sharedItems containsSemiMixedTypes="0" containsString="0" containsNumber="1" containsInteger="1" minValue="6088" maxValue="146100" count="80">
        <n v="6088"/>
        <n v="6224"/>
        <n v="6220"/>
        <n v="6228"/>
        <n v="6372"/>
        <n v="6356"/>
        <n v="6388"/>
        <n v="6360"/>
        <n v="6416"/>
        <n v="6400"/>
        <n v="6600"/>
        <n v="6540"/>
        <n v="6552"/>
        <n v="6592"/>
        <n v="6560"/>
        <n v="6688"/>
        <n v="6720"/>
        <n v="6788"/>
        <n v="6860"/>
        <n v="6840"/>
        <n v="7060"/>
        <n v="7064"/>
        <n v="7208"/>
        <n v="7144"/>
        <n v="7288"/>
        <n v="7536"/>
        <n v="7556"/>
        <n v="7660"/>
        <n v="7884"/>
        <n v="7992"/>
        <n v="8116"/>
        <n v="8224"/>
        <n v="8316"/>
        <n v="8772"/>
        <n v="9216"/>
        <n v="8924"/>
        <n v="9300"/>
        <n v="9632"/>
        <n v="10364"/>
        <n v="10260"/>
        <n v="11176"/>
        <n v="11272"/>
        <n v="11580"/>
        <n v="14676"/>
        <n v="12184"/>
        <n v="12572"/>
        <n v="15484"/>
        <n v="13312"/>
        <n v="15168"/>
        <n v="16952"/>
        <n v="17052"/>
        <n v="17360"/>
        <n v="27448"/>
        <n v="18928"/>
        <n v="19716"/>
        <n v="26552"/>
        <n v="23000"/>
        <n v="24040"/>
        <n v="40168"/>
        <n v="28136"/>
        <n v="30008"/>
        <n v="42480"/>
        <n v="31560"/>
        <n v="34160"/>
        <n v="51484"/>
        <n v="39852"/>
        <n v="46540"/>
        <n v="72400"/>
        <n v="50264"/>
        <n v="51632"/>
        <n v="94076"/>
        <n v="56980"/>
        <n v="71924"/>
        <n v="91736"/>
        <n v="83224"/>
        <n v="86644"/>
        <n v="131676"/>
        <n v="92700"/>
        <n v="101704"/>
        <n v="146100"/>
      </sharedItems>
    </cacheField>
    <cacheField name="Holes" numFmtId="2">
      <sharedItems containsSemiMixedTypes="0" containsString="0" containsNumber="1" containsInteger="1" minValue="0" maxValue="6" count="7">
        <n v="5"/>
        <n v="6"/>
        <n v="3"/>
        <n v="0"/>
        <n v="1"/>
        <n v="2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n v="1.7290000000000001"/>
    <n v="4.9000000000000002E-2"/>
    <n v="5.0000000000000001E-3"/>
    <x v="0"/>
    <x v="0"/>
    <x v="0"/>
  </r>
  <r>
    <x v="1"/>
    <n v="1.639"/>
    <n v="0.10100000000000001"/>
    <n v="6.8000000000000005E-2"/>
    <x v="1"/>
    <x v="0"/>
    <x v="1"/>
  </r>
  <r>
    <x v="2"/>
    <n v="1.7450000000000001"/>
    <n v="5.6000000000000001E-2"/>
    <n v="6.9000000000000006E-2"/>
    <x v="2"/>
    <x v="0"/>
    <x v="2"/>
  </r>
  <r>
    <x v="3"/>
    <n v="1.599"/>
    <n v="5.8000000000000003E-2"/>
    <n v="0.11"/>
    <x v="3"/>
    <x v="0"/>
    <x v="3"/>
  </r>
  <r>
    <x v="4"/>
    <n v="1.5760000000000001"/>
    <n v="0.06"/>
    <n v="0.152"/>
    <x v="4"/>
    <x v="0"/>
    <x v="3"/>
  </r>
  <r>
    <x v="5"/>
    <n v="1.625"/>
    <n v="6.6000000000000003E-2"/>
    <n v="0.20399999999999999"/>
    <x v="5"/>
    <x v="0"/>
    <x v="4"/>
  </r>
  <r>
    <x v="6"/>
    <n v="1.6220000000000001"/>
    <n v="7.0000000000000007E-2"/>
    <n v="0.249"/>
    <x v="6"/>
    <x v="0"/>
    <x v="1"/>
  </r>
  <r>
    <x v="7"/>
    <n v="1.552"/>
    <n v="8.5999999999999993E-2"/>
    <n v="0.30399999999999999"/>
    <x v="7"/>
    <x v="1"/>
    <x v="1"/>
  </r>
  <r>
    <x v="8"/>
    <n v="2.1179999999999999"/>
    <n v="0.08"/>
    <n v="0.36599999999999999"/>
    <x v="8"/>
    <x v="2"/>
    <x v="3"/>
  </r>
  <r>
    <x v="9"/>
    <n v="1.6779999999999999"/>
    <n v="8.5000000000000006E-2"/>
    <n v="0.44700000000000001"/>
    <x v="9"/>
    <x v="2"/>
    <x v="5"/>
  </r>
  <r>
    <x v="10"/>
    <n v="1.5840000000000001"/>
    <n v="0.09"/>
    <n v="0.441"/>
    <x v="10"/>
    <x v="1"/>
    <x v="5"/>
  </r>
  <r>
    <x v="11"/>
    <n v="1.8169999999999999"/>
    <n v="9.9000000000000005E-2"/>
    <n v="0.51900000000000002"/>
    <x v="11"/>
    <x v="3"/>
    <x v="5"/>
  </r>
  <r>
    <x v="12"/>
    <n v="2.496"/>
    <n v="0.108"/>
    <n v="0.56000000000000005"/>
    <x v="12"/>
    <x v="2"/>
    <x v="1"/>
  </r>
  <r>
    <x v="13"/>
    <n v="1.994"/>
    <n v="0.123"/>
    <n v="0.57199999999999995"/>
    <x v="13"/>
    <x v="2"/>
    <x v="3"/>
  </r>
  <r>
    <x v="14"/>
    <n v="1.9"/>
    <n v="0.13"/>
    <n v="0.67200000000000004"/>
    <x v="14"/>
    <x v="2"/>
    <x v="4"/>
  </r>
  <r>
    <x v="15"/>
    <n v="1.7989999999999999"/>
    <n v="0.13700000000000001"/>
    <n v="0.71099999999999997"/>
    <x v="15"/>
    <x v="2"/>
    <x v="2"/>
  </r>
  <r>
    <x v="16"/>
    <n v="1.8180000000000001"/>
    <n v="0.13800000000000001"/>
    <n v="0.82299999999999995"/>
    <x v="16"/>
    <x v="2"/>
    <x v="4"/>
  </r>
  <r>
    <x v="17"/>
    <n v="1.931"/>
    <n v="0.16900000000000001"/>
    <n v="0.91700000000000004"/>
    <x v="17"/>
    <x v="1"/>
    <x v="0"/>
  </r>
  <r>
    <x v="18"/>
    <n v="1.998"/>
    <n v="0.2"/>
    <n v="1.0589999999999999"/>
    <x v="18"/>
    <x v="2"/>
    <x v="6"/>
  </r>
  <r>
    <x v="19"/>
    <n v="1.9339999999999999"/>
    <n v="0.17499999999999999"/>
    <n v="1.0569999999999999"/>
    <x v="19"/>
    <x v="2"/>
    <x v="0"/>
  </r>
  <r>
    <x v="20"/>
    <n v="2.0059999999999998"/>
    <n v="0.2"/>
    <n v="1.171"/>
    <x v="20"/>
    <x v="2"/>
    <x v="4"/>
  </r>
  <r>
    <x v="21"/>
    <n v="1.921"/>
    <n v="0.216"/>
    <n v="1.2909999999999999"/>
    <x v="21"/>
    <x v="2"/>
    <x v="6"/>
  </r>
  <r>
    <x v="22"/>
    <n v="1.956"/>
    <n v="0.22900000000000001"/>
    <n v="1.389"/>
    <x v="22"/>
    <x v="4"/>
    <x v="6"/>
  </r>
  <r>
    <x v="23"/>
    <n v="2.5329999999999999"/>
    <n v="0.27500000000000002"/>
    <n v="1.53"/>
    <x v="23"/>
    <x v="5"/>
    <x v="4"/>
  </r>
  <r>
    <x v="24"/>
    <n v="2.1509999999999998"/>
    <n v="0.26100000000000001"/>
    <n v="2.1800000000000002"/>
    <x v="24"/>
    <x v="6"/>
    <x v="6"/>
  </r>
  <r>
    <x v="25"/>
    <n v="2.427"/>
    <n v="0.28100000000000003"/>
    <n v="1.9179999999999999"/>
    <x v="25"/>
    <x v="7"/>
    <x v="6"/>
  </r>
  <r>
    <x v="26"/>
    <n v="2.6749999999999998"/>
    <n v="0.38400000000000001"/>
    <n v="2.129"/>
    <x v="26"/>
    <x v="4"/>
    <x v="4"/>
  </r>
  <r>
    <x v="27"/>
    <n v="2.2229999999999999"/>
    <n v="0.33500000000000002"/>
    <n v="2.1859999999999999"/>
    <x v="27"/>
    <x v="5"/>
    <x v="6"/>
  </r>
  <r>
    <x v="28"/>
    <n v="2.996"/>
    <n v="0.4"/>
    <n v="2.3319999999999999"/>
    <x v="28"/>
    <x v="8"/>
    <x v="0"/>
  </r>
  <r>
    <x v="29"/>
    <n v="2.3540000000000001"/>
    <n v="0.47099999999999997"/>
    <n v="2.7029999999999998"/>
    <x v="29"/>
    <x v="9"/>
    <x v="2"/>
  </r>
  <r>
    <x v="30"/>
    <n v="2.6549999999999998"/>
    <n v="0.50700000000000001"/>
    <n v="3.1560000000000001"/>
    <x v="30"/>
    <x v="10"/>
    <x v="3"/>
  </r>
  <r>
    <x v="31"/>
    <n v="2.968"/>
    <n v="0.442"/>
    <n v="3.3420000000000001"/>
    <x v="31"/>
    <x v="11"/>
    <x v="0"/>
  </r>
  <r>
    <x v="32"/>
    <n v="2.89"/>
    <n v="0.48199999999999998"/>
    <n v="3.4769999999999999"/>
    <x v="32"/>
    <x v="12"/>
    <x v="4"/>
  </r>
  <r>
    <x v="33"/>
    <n v="2.7559999999999998"/>
    <n v="0.57199999999999995"/>
    <n v="3.8809999999999998"/>
    <x v="33"/>
    <x v="13"/>
    <x v="2"/>
  </r>
  <r>
    <x v="34"/>
    <n v="2.9769999999999999"/>
    <n v="0.55700000000000005"/>
    <n v="4.5270000000000001"/>
    <x v="34"/>
    <x v="14"/>
    <x v="2"/>
  </r>
  <r>
    <x v="35"/>
    <n v="3.6640000000000001"/>
    <n v="0.621"/>
    <n v="4.9039999999999999"/>
    <x v="35"/>
    <x v="15"/>
    <x v="4"/>
  </r>
  <r>
    <x v="36"/>
    <n v="3.3140000000000001"/>
    <n v="0.90700000000000003"/>
    <n v="5.95"/>
    <x v="36"/>
    <x v="16"/>
    <x v="3"/>
  </r>
  <r>
    <x v="37"/>
    <n v="3.4729999999999999"/>
    <n v="0.71699999999999997"/>
    <n v="5.3079999999999998"/>
    <x v="37"/>
    <x v="17"/>
    <x v="1"/>
  </r>
  <r>
    <x v="38"/>
    <n v="4.0090000000000003"/>
    <n v="0.77700000000000002"/>
    <n v="6.0019999999999998"/>
    <x v="38"/>
    <x v="18"/>
    <x v="4"/>
  </r>
  <r>
    <x v="39"/>
    <n v="3.7109999999999999"/>
    <n v="0.86399999999999999"/>
    <n v="6.4109999999999996"/>
    <x v="39"/>
    <x v="19"/>
    <x v="0"/>
  </r>
  <r>
    <x v="40"/>
    <n v="3.875"/>
    <n v="0.86299999999999999"/>
    <n v="6.3470000000000004"/>
    <x v="40"/>
    <x v="20"/>
    <x v="3"/>
  </r>
  <r>
    <x v="41"/>
    <n v="4.2430000000000003"/>
    <n v="1.0780000000000001"/>
    <n v="8.5129999999999999"/>
    <x v="41"/>
    <x v="21"/>
    <x v="6"/>
  </r>
  <r>
    <x v="42"/>
    <n v="5.0529999999999999"/>
    <n v="1.3720000000000001"/>
    <n v="12.087"/>
    <x v="42"/>
    <x v="22"/>
    <x v="3"/>
  </r>
  <r>
    <x v="43"/>
    <n v="5.0640000000000001"/>
    <n v="1.25"/>
    <n v="8.8339999999999996"/>
    <x v="43"/>
    <x v="23"/>
    <x v="1"/>
  </r>
  <r>
    <x v="44"/>
    <n v="5.0190000000000001"/>
    <n v="1.3460000000000001"/>
    <n v="11.215"/>
    <x v="44"/>
    <x v="24"/>
    <x v="1"/>
  </r>
  <r>
    <x v="45"/>
    <n v="5.4189999999999996"/>
    <n v="1.5049999999999999"/>
    <n v="13.289"/>
    <x v="45"/>
    <x v="25"/>
    <x v="5"/>
  </r>
  <r>
    <x v="46"/>
    <n v="5.9870000000000001"/>
    <n v="1.498"/>
    <n v="13.617000000000001"/>
    <x v="46"/>
    <x v="26"/>
    <x v="1"/>
  </r>
  <r>
    <x v="47"/>
    <n v="5.8410000000000002"/>
    <n v="1.633"/>
    <n v="12.786"/>
    <x v="47"/>
    <x v="27"/>
    <x v="1"/>
  </r>
  <r>
    <x v="48"/>
    <n v="6.4029999999999996"/>
    <n v="1.96"/>
    <n v="17.814"/>
    <x v="48"/>
    <x v="28"/>
    <x v="0"/>
  </r>
  <r>
    <x v="49"/>
    <n v="7.0069999999999997"/>
    <n v="1.95"/>
    <n v="14.243"/>
    <x v="49"/>
    <x v="29"/>
    <x v="3"/>
  </r>
  <r>
    <x v="50"/>
    <n v="7.609"/>
    <n v="2.1749999999999998"/>
    <n v="16.253"/>
    <x v="50"/>
    <x v="30"/>
    <x v="3"/>
  </r>
  <r>
    <x v="51"/>
    <n v="8.4930000000000003"/>
    <n v="2.448"/>
    <n v="19.706"/>
    <x v="51"/>
    <x v="31"/>
    <x v="1"/>
  </r>
  <r>
    <x v="52"/>
    <n v="8.8529999999999998"/>
    <n v="2.4929999999999999"/>
    <n v="24.382999999999999"/>
    <x v="52"/>
    <x v="32"/>
    <x v="2"/>
  </r>
  <r>
    <x v="53"/>
    <n v="9.52"/>
    <n v="2.68"/>
    <n v="22.437999999999999"/>
    <x v="53"/>
    <x v="33"/>
    <x v="0"/>
  </r>
  <r>
    <x v="54"/>
    <n v="10.547000000000001"/>
    <n v="3.5880000000000001"/>
    <n v="39.872"/>
    <x v="54"/>
    <x v="34"/>
    <x v="4"/>
  </r>
  <r>
    <x v="55"/>
    <n v="12.583"/>
    <n v="3.2570000000000001"/>
    <n v="26.524999999999999"/>
    <x v="55"/>
    <x v="35"/>
    <x v="2"/>
  </r>
  <r>
    <x v="56"/>
    <n v="11.772"/>
    <n v="3.87"/>
    <n v="32.682000000000002"/>
    <x v="56"/>
    <x v="36"/>
    <x v="4"/>
  </r>
  <r>
    <x v="57"/>
    <n v="12.44"/>
    <n v="3.9289999999999998"/>
    <n v="34.481999999999999"/>
    <x v="57"/>
    <x v="37"/>
    <x v="1"/>
  </r>
  <r>
    <x v="58"/>
    <n v="13.778"/>
    <n v="4.8769999999999998"/>
    <n v="48.985999999999997"/>
    <x v="58"/>
    <x v="38"/>
    <x v="6"/>
  </r>
  <r>
    <x v="59"/>
    <n v="13.976000000000001"/>
    <n v="4.6029999999999998"/>
    <n v="39.018000000000001"/>
    <x v="59"/>
    <x v="39"/>
    <x v="2"/>
  </r>
  <r>
    <x v="60"/>
    <n v="15.613"/>
    <n v="5.5839999999999996"/>
    <n v="72.242999999999995"/>
    <x v="60"/>
    <x v="40"/>
    <x v="5"/>
  </r>
  <r>
    <x v="61"/>
    <n v="16.175999999999998"/>
    <n v="5.6820000000000004"/>
    <n v="45.189"/>
    <x v="61"/>
    <x v="41"/>
    <x v="5"/>
  </r>
  <r>
    <x v="62"/>
    <n v="18.353000000000002"/>
    <n v="6.343"/>
    <n v="71.337999999999994"/>
    <x v="62"/>
    <x v="42"/>
    <x v="2"/>
  </r>
  <r>
    <x v="63"/>
    <n v="20.100999999999999"/>
    <n v="7.7869999999999999"/>
    <n v="160.065"/>
    <x v="63"/>
    <x v="43"/>
    <x v="3"/>
  </r>
  <r>
    <x v="64"/>
    <n v="21.622"/>
    <n v="7.2640000000000002"/>
    <n v="57.677"/>
    <x v="64"/>
    <x v="44"/>
    <x v="3"/>
  </r>
  <r>
    <x v="65"/>
    <n v="23.335000000000001"/>
    <n v="8.5229999999999997"/>
    <n v="64.626000000000005"/>
    <x v="65"/>
    <x v="45"/>
    <x v="5"/>
  </r>
  <r>
    <x v="66"/>
    <n v="24.190999999999999"/>
    <n v="9.8409999999999993"/>
    <n v="147.38800000000001"/>
    <x v="66"/>
    <x v="46"/>
    <x v="5"/>
  </r>
  <r>
    <x v="67"/>
    <n v="26.472000000000001"/>
    <n v="8.7560000000000002"/>
    <n v="75.048000000000002"/>
    <x v="67"/>
    <x v="47"/>
    <x v="0"/>
  </r>
  <r>
    <x v="68"/>
    <n v="28.725999999999999"/>
    <n v="9.516"/>
    <n v="131.66200000000001"/>
    <x v="68"/>
    <x v="48"/>
    <x v="2"/>
  </r>
  <r>
    <x v="69"/>
    <n v="31.433"/>
    <n v="12.943"/>
    <n v="132.72"/>
    <x v="69"/>
    <x v="49"/>
    <x v="6"/>
  </r>
  <r>
    <x v="70"/>
    <n v="34.802999999999997"/>
    <n v="12.202999999999999"/>
    <n v="149.339"/>
    <x v="70"/>
    <x v="50"/>
    <x v="5"/>
  </r>
  <r>
    <x v="71"/>
    <n v="36.43"/>
    <n v="13.914999999999999"/>
    <n v="113.503"/>
    <x v="71"/>
    <x v="51"/>
    <x v="0"/>
  </r>
  <r>
    <x v="72"/>
    <n v="42.142000000000003"/>
    <n v="17.050999999999998"/>
    <n v="595.74599999999998"/>
    <x v="72"/>
    <x v="52"/>
    <x v="3"/>
  </r>
  <r>
    <x v="73"/>
    <n v="44.005000000000003"/>
    <n v="15.382999999999999"/>
    <n v="137.685"/>
    <x v="73"/>
    <x v="53"/>
    <x v="2"/>
  </r>
  <r>
    <x v="74"/>
    <n v="48.569000000000003"/>
    <n v="17.876000000000001"/>
    <n v="149.88499999999999"/>
    <x v="74"/>
    <x v="54"/>
    <x v="3"/>
  </r>
  <r>
    <x v="75"/>
    <n v="53.006999999999998"/>
    <n v="22.135999999999999"/>
    <n v="414.86599999999999"/>
    <x v="75"/>
    <x v="55"/>
    <x v="5"/>
  </r>
  <r>
    <x v="76"/>
    <n v="56.206000000000003"/>
    <n v="20.54"/>
    <n v="305.18400000000003"/>
    <x v="76"/>
    <x v="56"/>
    <x v="5"/>
  </r>
  <r>
    <x v="77"/>
    <n v="60.055999999999997"/>
    <n v="21.704999999999998"/>
    <n v="216.46299999999999"/>
    <x v="77"/>
    <x v="57"/>
    <x v="2"/>
  </r>
  <r>
    <x v="78"/>
    <n v="66.507000000000005"/>
    <n v="28.04"/>
    <n v="1006.418"/>
    <x v="78"/>
    <x v="58"/>
    <x v="4"/>
  </r>
  <r>
    <x v="79"/>
    <n v="70.706000000000003"/>
    <n v="25.658000000000001"/>
    <n v="253.21299999999999"/>
    <x v="79"/>
    <x v="59"/>
    <x v="1"/>
  </r>
  <r>
    <x v="80"/>
    <n v="77.090999999999994"/>
    <n v="28.382000000000001"/>
    <n v="513.41600000000005"/>
    <x v="80"/>
    <x v="60"/>
    <x v="5"/>
  </r>
  <r>
    <x v="81"/>
    <n v="84.043999999999997"/>
    <n v="36.44"/>
    <n v="951.46600000000001"/>
    <x v="81"/>
    <x v="61"/>
    <x v="5"/>
  </r>
  <r>
    <x v="82"/>
    <n v="92.905000000000001"/>
    <n v="30.434000000000001"/>
    <n v="703.16499999999996"/>
    <x v="82"/>
    <x v="62"/>
    <x v="6"/>
  </r>
  <r>
    <x v="83"/>
    <n v="100.791"/>
    <n v="38.048000000000002"/>
    <n v="401.05200000000002"/>
    <x v="83"/>
    <x v="63"/>
    <x v="4"/>
  </r>
  <r>
    <x v="84"/>
    <n v="110.28"/>
    <n v="45.655999999999999"/>
    <n v="1538.65"/>
    <x v="84"/>
    <x v="64"/>
    <x v="2"/>
  </r>
  <r>
    <x v="85"/>
    <n v="117.557"/>
    <n v="42.38"/>
    <n v="480.62299999999999"/>
    <x v="85"/>
    <x v="65"/>
    <x v="6"/>
  </r>
  <r>
    <x v="86"/>
    <n v="128.035"/>
    <n v="47.173000000000002"/>
    <n v="1197.3009999999999"/>
    <x v="86"/>
    <x v="66"/>
    <x v="0"/>
  </r>
  <r>
    <x v="87"/>
    <n v="137.459"/>
    <n v="66.631"/>
    <n v="3561"/>
    <x v="87"/>
    <x v="67"/>
    <x v="4"/>
  </r>
  <r>
    <x v="88"/>
    <n v="154.06"/>
    <n v="54.723999999999997"/>
    <n v="1539.61"/>
    <x v="88"/>
    <x v="68"/>
    <x v="0"/>
  </r>
  <r>
    <x v="89"/>
    <n v="167.40199999999999"/>
    <n v="61.587000000000003"/>
    <n v="832.48699999999997"/>
    <x v="89"/>
    <x v="69"/>
    <x v="6"/>
  </r>
  <r>
    <x v="90"/>
    <n v="181.87200000000001"/>
    <n v="88.349000000000004"/>
    <n v="6762.8670000000002"/>
    <x v="90"/>
    <x v="70"/>
    <x v="4"/>
  </r>
  <r>
    <x v="91"/>
    <n v="195.21"/>
    <n v="70.447999999999993"/>
    <n v="1033.9079999999999"/>
    <x v="91"/>
    <x v="71"/>
    <x v="1"/>
  </r>
  <r>
    <x v="92"/>
    <n v="208.43299999999999"/>
    <n v="76.066000000000003"/>
    <n v="2885.8580000000002"/>
    <x v="92"/>
    <x v="72"/>
    <x v="6"/>
  </r>
  <r>
    <x v="93"/>
    <n v="229.1"/>
    <n v="89.632999999999996"/>
    <n v="2845.3"/>
    <x v="93"/>
    <x v="73"/>
    <x v="0"/>
  </r>
  <r>
    <x v="94"/>
    <n v="244.845"/>
    <n v="88.412000000000006"/>
    <n v="3933.5940000000001"/>
    <x v="94"/>
    <x v="74"/>
    <x v="0"/>
  </r>
  <r>
    <x v="95"/>
    <n v="279.24799999999999"/>
    <n v="96.078999999999994"/>
    <n v="1408.7829999999999"/>
    <x v="95"/>
    <x v="75"/>
    <x v="3"/>
  </r>
  <r>
    <x v="96"/>
    <n v="302.41199999999998"/>
    <n v="131.32"/>
    <n v="12596.084999999999"/>
    <x v="96"/>
    <x v="76"/>
    <x v="5"/>
  </r>
  <r>
    <x v="97"/>
    <n v="325.03500000000003"/>
    <n v="121.301"/>
    <n v="2378.9470000000001"/>
    <x v="97"/>
    <x v="77"/>
    <x v="6"/>
  </r>
  <r>
    <x v="98"/>
    <n v="349.11"/>
    <n v="138.10400000000001"/>
    <n v="7048.4"/>
    <x v="98"/>
    <x v="78"/>
    <x v="1"/>
  </r>
  <r>
    <x v="99"/>
    <n v="382.95800000000003"/>
    <n v="169.495"/>
    <n v="10461.975"/>
    <x v="99"/>
    <x v="7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7F395-933E-4005-8D1B-510D75A6A188}" name="PivotTable5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102" firstHeaderRow="1" firstDataRow="1" firstDataCol="1"/>
  <pivotFields count="7">
    <pivotField dataField="1" numFmtId="2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numFmtId="2" showAll="0"/>
    <pivotField numFmtId="2" showAll="0"/>
    <pivotField numFmtId="2" showAll="0"/>
    <pivotField axis="axisRow" numFmtId="2" showAll="0">
      <items count="101">
        <item x="3"/>
        <item x="0"/>
        <item x="4"/>
        <item x="1"/>
        <item x="2"/>
        <item x="5"/>
        <item x="6"/>
        <item x="7"/>
        <item x="10"/>
        <item x="9"/>
        <item x="11"/>
        <item x="8"/>
        <item x="15"/>
        <item x="13"/>
        <item x="14"/>
        <item x="16"/>
        <item x="17"/>
        <item x="12"/>
        <item x="19"/>
        <item x="18"/>
        <item x="20"/>
        <item x="21"/>
        <item x="22"/>
        <item x="23"/>
        <item x="24"/>
        <item x="25"/>
        <item x="27"/>
        <item x="26"/>
        <item x="29"/>
        <item x="28"/>
        <item x="30"/>
        <item x="31"/>
        <item x="32"/>
        <item x="33"/>
        <item x="34"/>
        <item x="35"/>
        <item x="37"/>
        <item x="36"/>
        <item x="38"/>
        <item x="39"/>
        <item x="40"/>
        <item x="41"/>
        <item x="43"/>
        <item x="44"/>
        <item x="42"/>
        <item x="45"/>
        <item x="47"/>
        <item x="46"/>
        <item x="49"/>
        <item x="50"/>
        <item x="48"/>
        <item x="51"/>
        <item x="53"/>
        <item x="52"/>
        <item x="55"/>
        <item x="56"/>
        <item x="57"/>
        <item x="54"/>
        <item x="59"/>
        <item x="61"/>
        <item x="58"/>
        <item x="64"/>
        <item x="60"/>
        <item x="62"/>
        <item x="65"/>
        <item x="67"/>
        <item x="71"/>
        <item x="68"/>
        <item x="69"/>
        <item x="66"/>
        <item x="63"/>
        <item x="70"/>
        <item x="73"/>
        <item x="74"/>
        <item x="77"/>
        <item x="79"/>
        <item x="76"/>
        <item x="75"/>
        <item x="83"/>
        <item x="80"/>
        <item x="85"/>
        <item x="72"/>
        <item x="82"/>
        <item x="89"/>
        <item x="81"/>
        <item x="78"/>
        <item x="91"/>
        <item x="86"/>
        <item x="84"/>
        <item x="88"/>
        <item x="95"/>
        <item x="97"/>
        <item x="93"/>
        <item x="92"/>
        <item x="87"/>
        <item x="94"/>
        <item x="90"/>
        <item x="98"/>
        <item x="99"/>
        <item x="96"/>
        <item t="default"/>
      </items>
    </pivotField>
    <pivotField numFmtId="2" showAll="0"/>
    <pivotField numFmtId="2" showAll="0">
      <items count="8">
        <item x="3"/>
        <item x="4"/>
        <item x="5"/>
        <item x="2"/>
        <item x="6"/>
        <item x="0"/>
        <item x="1"/>
        <item t="default"/>
      </items>
    </pivotField>
  </pivotFields>
  <rowFields count="1">
    <field x="4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Average of vertices" fld="0" subtotal="average" baseField="4" baseItem="0" numFmtId="2"/>
  </dataFields>
  <chartFormats count="1">
    <chartFormat chart="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5817B-7743-4DE3-A605-C37DA6018CAD}" name="PivotTable6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B82" firstHeaderRow="1" firstDataRow="1" firstDataCol="1"/>
  <pivotFields count="7">
    <pivotField dataField="1" numFmtId="2" showAll="0"/>
    <pivotField numFmtId="2" showAll="0"/>
    <pivotField numFmtId="2" showAll="0"/>
    <pivotField numFmtId="2" showAll="0"/>
    <pivotField numFmtId="2" showAll="0"/>
    <pivotField axis="axisRow" numFmtId="2" showAll="0">
      <items count="81">
        <item x="0"/>
        <item x="2"/>
        <item x="1"/>
        <item x="3"/>
        <item x="5"/>
        <item x="7"/>
        <item x="4"/>
        <item x="6"/>
        <item x="9"/>
        <item x="8"/>
        <item x="11"/>
        <item x="12"/>
        <item x="14"/>
        <item x="13"/>
        <item x="10"/>
        <item x="15"/>
        <item x="16"/>
        <item x="17"/>
        <item x="19"/>
        <item x="18"/>
        <item x="20"/>
        <item x="21"/>
        <item x="23"/>
        <item x="22"/>
        <item x="24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7"/>
        <item x="39"/>
        <item x="38"/>
        <item x="40"/>
        <item x="41"/>
        <item x="42"/>
        <item x="44"/>
        <item x="45"/>
        <item x="47"/>
        <item x="43"/>
        <item x="48"/>
        <item x="46"/>
        <item x="49"/>
        <item x="50"/>
        <item x="51"/>
        <item x="53"/>
        <item x="54"/>
        <item x="56"/>
        <item x="57"/>
        <item x="55"/>
        <item x="52"/>
        <item x="59"/>
        <item x="60"/>
        <item x="62"/>
        <item x="63"/>
        <item x="65"/>
        <item x="58"/>
        <item x="61"/>
        <item x="66"/>
        <item x="68"/>
        <item x="64"/>
        <item x="69"/>
        <item x="71"/>
        <item x="72"/>
        <item x="67"/>
        <item x="74"/>
        <item x="75"/>
        <item x="73"/>
        <item x="77"/>
        <item x="70"/>
        <item x="78"/>
        <item x="76"/>
        <item x="79"/>
        <item t="default"/>
      </items>
    </pivotField>
    <pivotField numFmtId="2" showAll="0"/>
  </pivotFields>
  <rowFields count="1">
    <field x="5"/>
  </rowFields>
  <row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rowItems>
  <colItems count="1">
    <i/>
  </colItems>
  <dataFields count="1">
    <dataField name="Average of vertices" fld="0" subtotal="average" baseField="5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13DA-9943-4A0C-8FDB-3EAE0543EBF9}">
  <dimension ref="A1:B102"/>
  <sheetViews>
    <sheetView zoomScaleNormal="100" workbookViewId="0">
      <selection activeCell="Q21" sqref="Q21"/>
    </sheetView>
  </sheetViews>
  <sheetFormatPr defaultRowHeight="15" x14ac:dyDescent="0.25"/>
  <cols>
    <col min="1" max="1" width="13.140625" bestFit="1" customWidth="1"/>
    <col min="2" max="2" width="18.28515625" bestFit="1" customWidth="1"/>
    <col min="3" max="5" width="9.5703125" bestFit="1" customWidth="1"/>
    <col min="6" max="6" width="10.5703125" bestFit="1" customWidth="1"/>
    <col min="7" max="8" width="9.5703125" bestFit="1" customWidth="1"/>
    <col min="9" max="9" width="11.28515625" bestFit="1" customWidth="1"/>
    <col min="10" max="14" width="16.28515625" bestFit="1" customWidth="1"/>
    <col min="15" max="15" width="20.42578125" bestFit="1" customWidth="1"/>
    <col min="16" max="16" width="19.7109375" bestFit="1" customWidth="1"/>
  </cols>
  <sheetData>
    <row r="1" spans="1:2" x14ac:dyDescent="0.25">
      <c r="A1" s="1" t="s">
        <v>108</v>
      </c>
      <c r="B1" t="s">
        <v>110</v>
      </c>
    </row>
    <row r="2" spans="1:2" x14ac:dyDescent="0.25">
      <c r="A2" s="3">
        <v>1.7669999999999999</v>
      </c>
      <c r="B2" s="2">
        <v>129</v>
      </c>
    </row>
    <row r="3" spans="1:2" x14ac:dyDescent="0.25">
      <c r="A3" s="3">
        <v>1.782</v>
      </c>
      <c r="B3" s="2">
        <v>100</v>
      </c>
    </row>
    <row r="4" spans="1:2" x14ac:dyDescent="0.25">
      <c r="A4" s="3">
        <v>1.788</v>
      </c>
      <c r="B4" s="2">
        <v>140</v>
      </c>
    </row>
    <row r="5" spans="1:2" x14ac:dyDescent="0.25">
      <c r="A5" s="3">
        <v>1.8080000000000001</v>
      </c>
      <c r="B5" s="2">
        <v>109</v>
      </c>
    </row>
    <row r="6" spans="1:2" x14ac:dyDescent="0.25">
      <c r="A6" s="3">
        <v>1.87</v>
      </c>
      <c r="B6" s="2">
        <v>118</v>
      </c>
    </row>
    <row r="7" spans="1:2" x14ac:dyDescent="0.25">
      <c r="A7" s="3">
        <v>1.895</v>
      </c>
      <c r="B7" s="2">
        <v>152</v>
      </c>
    </row>
    <row r="8" spans="1:2" x14ac:dyDescent="0.25">
      <c r="A8" s="3">
        <v>1.9419999999999999</v>
      </c>
      <c r="B8" s="2">
        <v>165</v>
      </c>
    </row>
    <row r="9" spans="1:2" x14ac:dyDescent="0.25">
      <c r="A9" s="3">
        <v>1.9430000000000001</v>
      </c>
      <c r="B9" s="2">
        <v>180</v>
      </c>
    </row>
    <row r="10" spans="1:2" x14ac:dyDescent="0.25">
      <c r="A10" s="3">
        <v>2.1150000000000002</v>
      </c>
      <c r="B10" s="2">
        <v>231</v>
      </c>
    </row>
    <row r="11" spans="1:2" x14ac:dyDescent="0.25">
      <c r="A11" s="3">
        <v>2.21</v>
      </c>
      <c r="B11" s="2">
        <v>213</v>
      </c>
    </row>
    <row r="12" spans="1:2" x14ac:dyDescent="0.25">
      <c r="A12" s="3">
        <v>2.4350000000000001</v>
      </c>
      <c r="B12" s="2">
        <v>251</v>
      </c>
    </row>
    <row r="13" spans="1:2" x14ac:dyDescent="0.25">
      <c r="A13" s="3">
        <v>2.5640000000000001</v>
      </c>
      <c r="B13" s="2">
        <v>195</v>
      </c>
    </row>
    <row r="14" spans="1:2" x14ac:dyDescent="0.25">
      <c r="A14" s="3">
        <v>2.6469999999999998</v>
      </c>
      <c r="B14" s="2">
        <v>351</v>
      </c>
    </row>
    <row r="15" spans="1:2" x14ac:dyDescent="0.25">
      <c r="A15" s="3">
        <v>2.6890000000000001</v>
      </c>
      <c r="B15" s="2">
        <v>297</v>
      </c>
    </row>
    <row r="16" spans="1:2" x14ac:dyDescent="0.25">
      <c r="A16" s="3">
        <v>2.702</v>
      </c>
      <c r="B16" s="2">
        <v>323</v>
      </c>
    </row>
    <row r="17" spans="1:2" x14ac:dyDescent="0.25">
      <c r="A17" s="3">
        <v>2.7789999999999999</v>
      </c>
      <c r="B17" s="2">
        <v>382</v>
      </c>
    </row>
    <row r="18" spans="1:2" x14ac:dyDescent="0.25">
      <c r="A18" s="3">
        <v>3.0169999999999999</v>
      </c>
      <c r="B18" s="2">
        <v>415</v>
      </c>
    </row>
    <row r="19" spans="1:2" x14ac:dyDescent="0.25">
      <c r="A19" s="3">
        <v>3.165</v>
      </c>
      <c r="B19" s="2">
        <v>273</v>
      </c>
    </row>
    <row r="20" spans="1:2" x14ac:dyDescent="0.25">
      <c r="A20" s="3">
        <v>3.1669999999999998</v>
      </c>
      <c r="B20" s="2">
        <v>491</v>
      </c>
    </row>
    <row r="21" spans="1:2" x14ac:dyDescent="0.25">
      <c r="A21" s="3">
        <v>3.2570000000000001</v>
      </c>
      <c r="B21" s="2">
        <v>452</v>
      </c>
    </row>
    <row r="22" spans="1:2" x14ac:dyDescent="0.25">
      <c r="A22" s="3">
        <v>3.3759999999999999</v>
      </c>
      <c r="B22" s="2">
        <v>534</v>
      </c>
    </row>
    <row r="23" spans="1:2" x14ac:dyDescent="0.25">
      <c r="A23" s="3">
        <v>3.4279999999999999</v>
      </c>
      <c r="B23" s="2">
        <v>581</v>
      </c>
    </row>
    <row r="24" spans="1:2" x14ac:dyDescent="0.25">
      <c r="A24" s="3">
        <v>3.5739999999999998</v>
      </c>
      <c r="B24" s="2">
        <v>632</v>
      </c>
    </row>
    <row r="25" spans="1:2" x14ac:dyDescent="0.25">
      <c r="A25" s="3">
        <v>4.3369999999999997</v>
      </c>
      <c r="B25" s="2">
        <v>687</v>
      </c>
    </row>
    <row r="26" spans="1:2" x14ac:dyDescent="0.25">
      <c r="A26" s="3">
        <v>4.5919999999999996</v>
      </c>
      <c r="B26" s="2">
        <v>747</v>
      </c>
    </row>
    <row r="27" spans="1:2" x14ac:dyDescent="0.25">
      <c r="A27" s="3">
        <v>4.625</v>
      </c>
      <c r="B27" s="2">
        <v>812</v>
      </c>
    </row>
    <row r="28" spans="1:2" x14ac:dyDescent="0.25">
      <c r="A28" s="3">
        <v>4.7439999999999998</v>
      </c>
      <c r="B28" s="2">
        <v>960</v>
      </c>
    </row>
    <row r="29" spans="1:2" x14ac:dyDescent="0.25">
      <c r="A29" s="3">
        <v>5.1879999999999997</v>
      </c>
      <c r="B29" s="2">
        <v>883</v>
      </c>
    </row>
    <row r="30" spans="1:2" x14ac:dyDescent="0.25">
      <c r="A30" s="3">
        <v>5.5279999999999996</v>
      </c>
      <c r="B30" s="2">
        <v>1135</v>
      </c>
    </row>
    <row r="31" spans="1:2" x14ac:dyDescent="0.25">
      <c r="A31" s="3">
        <v>5.7279999999999998</v>
      </c>
      <c r="B31" s="2">
        <v>1044</v>
      </c>
    </row>
    <row r="32" spans="1:2" x14ac:dyDescent="0.25">
      <c r="A32" s="3">
        <v>6.3179999999999996</v>
      </c>
      <c r="B32" s="2">
        <v>1235</v>
      </c>
    </row>
    <row r="33" spans="1:2" x14ac:dyDescent="0.25">
      <c r="A33" s="3">
        <v>6.7510000000000003</v>
      </c>
      <c r="B33" s="2">
        <v>1343</v>
      </c>
    </row>
    <row r="34" spans="1:2" x14ac:dyDescent="0.25">
      <c r="A34" s="3">
        <v>6.8490000000000002</v>
      </c>
      <c r="B34" s="2">
        <v>1460</v>
      </c>
    </row>
    <row r="35" spans="1:2" x14ac:dyDescent="0.25">
      <c r="A35" s="3">
        <v>7.2089999999999996</v>
      </c>
      <c r="B35" s="2">
        <v>1587</v>
      </c>
    </row>
    <row r="36" spans="1:2" x14ac:dyDescent="0.25">
      <c r="A36" s="3">
        <v>8.0619999999999994</v>
      </c>
      <c r="B36" s="2">
        <v>1726</v>
      </c>
    </row>
    <row r="37" spans="1:2" x14ac:dyDescent="0.25">
      <c r="A37" s="3">
        <v>9.19</v>
      </c>
      <c r="B37" s="2">
        <v>1877</v>
      </c>
    </row>
    <row r="38" spans="1:2" x14ac:dyDescent="0.25">
      <c r="A38" s="3">
        <v>9.4979999999999993</v>
      </c>
      <c r="B38" s="2">
        <v>2219</v>
      </c>
    </row>
    <row r="39" spans="1:2" x14ac:dyDescent="0.25">
      <c r="A39" s="3">
        <v>10.170999999999999</v>
      </c>
      <c r="B39" s="2">
        <v>2041</v>
      </c>
    </row>
    <row r="40" spans="1:2" x14ac:dyDescent="0.25">
      <c r="A40" s="3">
        <v>10.789</v>
      </c>
      <c r="B40" s="2">
        <v>2413</v>
      </c>
    </row>
    <row r="41" spans="1:2" x14ac:dyDescent="0.25">
      <c r="A41" s="3">
        <v>10.987</v>
      </c>
      <c r="B41" s="2">
        <v>2624</v>
      </c>
    </row>
    <row r="42" spans="1:2" x14ac:dyDescent="0.25">
      <c r="A42" s="3">
        <v>11.085000000000001</v>
      </c>
      <c r="B42" s="2">
        <v>2853</v>
      </c>
    </row>
    <row r="43" spans="1:2" x14ac:dyDescent="0.25">
      <c r="A43" s="3">
        <v>13.834</v>
      </c>
      <c r="B43" s="2">
        <v>3103</v>
      </c>
    </row>
    <row r="44" spans="1:2" x14ac:dyDescent="0.25">
      <c r="A44" s="3">
        <v>15.148</v>
      </c>
      <c r="B44" s="2">
        <v>3669</v>
      </c>
    </row>
    <row r="45" spans="1:2" x14ac:dyDescent="0.25">
      <c r="A45" s="3">
        <v>17.579999999999998</v>
      </c>
      <c r="B45" s="2">
        <v>3989</v>
      </c>
    </row>
    <row r="46" spans="1:2" x14ac:dyDescent="0.25">
      <c r="A46" s="3">
        <v>18.510999999999999</v>
      </c>
      <c r="B46" s="2">
        <v>3374</v>
      </c>
    </row>
    <row r="47" spans="1:2" x14ac:dyDescent="0.25">
      <c r="A47" s="3">
        <v>20.213999999999999</v>
      </c>
      <c r="B47" s="2">
        <v>4338</v>
      </c>
    </row>
    <row r="48" spans="1:2" x14ac:dyDescent="0.25">
      <c r="A48" s="3">
        <v>20.260000000000002</v>
      </c>
      <c r="B48" s="2">
        <v>5129</v>
      </c>
    </row>
    <row r="49" spans="1:2" x14ac:dyDescent="0.25">
      <c r="A49" s="3">
        <v>21.102</v>
      </c>
      <c r="B49" s="2">
        <v>4717</v>
      </c>
    </row>
    <row r="50" spans="1:2" x14ac:dyDescent="0.25">
      <c r="A50" s="3">
        <v>23.2</v>
      </c>
      <c r="B50" s="2">
        <v>6065</v>
      </c>
    </row>
    <row r="51" spans="1:2" x14ac:dyDescent="0.25">
      <c r="A51" s="3">
        <v>26.036999999999999</v>
      </c>
      <c r="B51" s="2">
        <v>6595</v>
      </c>
    </row>
    <row r="52" spans="1:2" x14ac:dyDescent="0.25">
      <c r="A52" s="3">
        <v>26.178000000000001</v>
      </c>
      <c r="B52" s="2">
        <v>5578</v>
      </c>
    </row>
    <row r="53" spans="1:2" x14ac:dyDescent="0.25">
      <c r="A53" s="3">
        <v>30.648</v>
      </c>
      <c r="B53" s="2">
        <v>7171</v>
      </c>
    </row>
    <row r="54" spans="1:2" x14ac:dyDescent="0.25">
      <c r="A54" s="3">
        <v>34.637999999999998</v>
      </c>
      <c r="B54" s="2">
        <v>8480</v>
      </c>
    </row>
    <row r="55" spans="1:2" x14ac:dyDescent="0.25">
      <c r="A55" s="3">
        <v>35.728999999999999</v>
      </c>
      <c r="B55" s="2">
        <v>7798</v>
      </c>
    </row>
    <row r="56" spans="1:2" x14ac:dyDescent="0.25">
      <c r="A56" s="3">
        <v>42.365000000000002</v>
      </c>
      <c r="B56" s="2">
        <v>10026</v>
      </c>
    </row>
    <row r="57" spans="1:2" x14ac:dyDescent="0.25">
      <c r="A57" s="3">
        <v>48.323999999999998</v>
      </c>
      <c r="B57" s="2">
        <v>10903</v>
      </c>
    </row>
    <row r="58" spans="1:2" x14ac:dyDescent="0.25">
      <c r="A58" s="3">
        <v>50.85</v>
      </c>
      <c r="B58" s="2">
        <v>11855</v>
      </c>
    </row>
    <row r="59" spans="1:2" x14ac:dyDescent="0.25">
      <c r="A59" s="3">
        <v>54.008000000000003</v>
      </c>
      <c r="B59" s="2">
        <v>9221</v>
      </c>
    </row>
    <row r="60" spans="1:2" x14ac:dyDescent="0.25">
      <c r="A60" s="3">
        <v>57.597000000000001</v>
      </c>
      <c r="B60" s="2">
        <v>14018</v>
      </c>
    </row>
    <row r="61" spans="1:2" x14ac:dyDescent="0.25">
      <c r="A61" s="3">
        <v>67.046999999999997</v>
      </c>
      <c r="B61" s="2">
        <v>16575</v>
      </c>
    </row>
    <row r="62" spans="1:2" x14ac:dyDescent="0.25">
      <c r="A62" s="3">
        <v>67.641000000000005</v>
      </c>
      <c r="B62" s="2">
        <v>12891</v>
      </c>
    </row>
    <row r="63" spans="1:2" x14ac:dyDescent="0.25">
      <c r="A63" s="3">
        <v>86.563000000000002</v>
      </c>
      <c r="B63" s="2">
        <v>21311</v>
      </c>
    </row>
    <row r="64" spans="1:2" x14ac:dyDescent="0.25">
      <c r="A64" s="3">
        <v>93.44</v>
      </c>
      <c r="B64" s="2">
        <v>15243</v>
      </c>
    </row>
    <row r="65" spans="1:2" x14ac:dyDescent="0.25">
      <c r="A65" s="3">
        <v>96.034999999999997</v>
      </c>
      <c r="B65" s="2">
        <v>18023</v>
      </c>
    </row>
    <row r="66" spans="1:2" x14ac:dyDescent="0.25">
      <c r="A66" s="3">
        <v>96.483999999999995</v>
      </c>
      <c r="B66" s="2">
        <v>23173</v>
      </c>
    </row>
    <row r="67" spans="1:2" x14ac:dyDescent="0.25">
      <c r="A67" s="3">
        <v>110.276</v>
      </c>
      <c r="B67" s="2">
        <v>27400</v>
      </c>
    </row>
    <row r="68" spans="1:2" x14ac:dyDescent="0.25">
      <c r="A68" s="3">
        <v>163.84800000000001</v>
      </c>
      <c r="B68" s="2">
        <v>38309</v>
      </c>
    </row>
    <row r="69" spans="1:2" x14ac:dyDescent="0.25">
      <c r="A69" s="3">
        <v>169.90299999999999</v>
      </c>
      <c r="B69" s="2">
        <v>29795</v>
      </c>
    </row>
    <row r="70" spans="1:2" x14ac:dyDescent="0.25">
      <c r="A70" s="3">
        <v>177.096</v>
      </c>
      <c r="B70" s="2">
        <v>32399</v>
      </c>
    </row>
    <row r="71" spans="1:2" x14ac:dyDescent="0.25">
      <c r="A71" s="3">
        <v>181.42</v>
      </c>
      <c r="B71" s="2">
        <v>25198</v>
      </c>
    </row>
    <row r="72" spans="1:2" x14ac:dyDescent="0.25">
      <c r="A72" s="3">
        <v>187.952</v>
      </c>
      <c r="B72" s="2">
        <v>19598</v>
      </c>
    </row>
    <row r="73" spans="1:2" x14ac:dyDescent="0.25">
      <c r="A73" s="3">
        <v>196.345</v>
      </c>
      <c r="B73" s="2">
        <v>35230</v>
      </c>
    </row>
    <row r="74" spans="1:2" x14ac:dyDescent="0.25">
      <c r="A74" s="3">
        <v>197.07300000000001</v>
      </c>
      <c r="B74" s="2">
        <v>45296</v>
      </c>
    </row>
    <row r="75" spans="1:2" x14ac:dyDescent="0.25">
      <c r="A75" s="3">
        <v>216.33</v>
      </c>
      <c r="B75" s="2">
        <v>49255</v>
      </c>
    </row>
    <row r="76" spans="1:2" x14ac:dyDescent="0.25">
      <c r="A76" s="3">
        <v>298.22399999999999</v>
      </c>
      <c r="B76" s="2">
        <v>63329</v>
      </c>
    </row>
    <row r="77" spans="1:2" x14ac:dyDescent="0.25">
      <c r="A77" s="3">
        <v>349.57600000000002</v>
      </c>
      <c r="B77" s="2">
        <v>74881</v>
      </c>
    </row>
    <row r="78" spans="1:2" x14ac:dyDescent="0.25">
      <c r="A78" s="3">
        <v>381.93</v>
      </c>
      <c r="B78" s="2">
        <v>58240</v>
      </c>
    </row>
    <row r="79" spans="1:2" x14ac:dyDescent="0.25">
      <c r="A79" s="3">
        <v>490.00900000000001</v>
      </c>
      <c r="B79" s="2">
        <v>53559</v>
      </c>
    </row>
    <row r="80" spans="1:2" x14ac:dyDescent="0.25">
      <c r="A80" s="3">
        <v>539.89200000000005</v>
      </c>
      <c r="B80" s="2">
        <v>104691</v>
      </c>
    </row>
    <row r="81" spans="1:2" x14ac:dyDescent="0.25">
      <c r="A81" s="3">
        <v>618.88800000000003</v>
      </c>
      <c r="B81" s="2">
        <v>81425</v>
      </c>
    </row>
    <row r="82" spans="1:2" x14ac:dyDescent="0.25">
      <c r="A82" s="3">
        <v>640.55999999999995</v>
      </c>
      <c r="B82" s="2">
        <v>123788</v>
      </c>
    </row>
    <row r="83" spans="1:2" x14ac:dyDescent="0.25">
      <c r="A83" s="3">
        <v>654.93799999999999</v>
      </c>
      <c r="B83" s="2">
        <v>41656</v>
      </c>
    </row>
    <row r="84" spans="1:2" x14ac:dyDescent="0.25">
      <c r="A84" s="3">
        <v>826.50400000000002</v>
      </c>
      <c r="B84" s="2">
        <v>96277</v>
      </c>
    </row>
    <row r="85" spans="1:2" x14ac:dyDescent="0.25">
      <c r="A85" s="3">
        <v>1061.4760000000001</v>
      </c>
      <c r="B85" s="2">
        <v>173068</v>
      </c>
    </row>
    <row r="86" spans="1:2" x14ac:dyDescent="0.25">
      <c r="A86" s="3">
        <v>1071.95</v>
      </c>
      <c r="B86" s="2">
        <v>88540</v>
      </c>
    </row>
    <row r="87" spans="1:2" x14ac:dyDescent="0.25">
      <c r="A87" s="3">
        <v>1100.9649999999999</v>
      </c>
      <c r="B87" s="2">
        <v>68863</v>
      </c>
    </row>
    <row r="88" spans="1:2" x14ac:dyDescent="0.25">
      <c r="A88" s="3">
        <v>1299.5650000000001</v>
      </c>
      <c r="B88" s="2">
        <v>204637</v>
      </c>
    </row>
    <row r="89" spans="1:2" x14ac:dyDescent="0.25">
      <c r="A89" s="3">
        <v>1372.509</v>
      </c>
      <c r="B89" s="2">
        <v>134605</v>
      </c>
    </row>
    <row r="90" spans="1:2" x14ac:dyDescent="0.25">
      <c r="A90" s="3">
        <v>1694.586</v>
      </c>
      <c r="B90" s="2">
        <v>113840</v>
      </c>
    </row>
    <row r="91" spans="1:2" x14ac:dyDescent="0.25">
      <c r="A91" s="3">
        <v>1748.394</v>
      </c>
      <c r="B91" s="2">
        <v>159159</v>
      </c>
    </row>
    <row r="92" spans="1:2" x14ac:dyDescent="0.25">
      <c r="A92" s="3">
        <v>1784.11</v>
      </c>
      <c r="B92" s="2">
        <v>286103</v>
      </c>
    </row>
    <row r="93" spans="1:2" x14ac:dyDescent="0.25">
      <c r="A93" s="3">
        <v>2825.2829999999999</v>
      </c>
      <c r="B93" s="2">
        <v>338292</v>
      </c>
    </row>
    <row r="94" spans="1:2" x14ac:dyDescent="0.25">
      <c r="A94" s="3">
        <v>3164.0329999999999</v>
      </c>
      <c r="B94" s="2">
        <v>241965</v>
      </c>
    </row>
    <row r="95" spans="1:2" x14ac:dyDescent="0.25">
      <c r="A95" s="3">
        <v>3170.357</v>
      </c>
      <c r="B95" s="2">
        <v>222520</v>
      </c>
    </row>
    <row r="96" spans="1:2" x14ac:dyDescent="0.25">
      <c r="A96" s="3">
        <v>3765.09</v>
      </c>
      <c r="B96" s="2">
        <v>146368</v>
      </c>
    </row>
    <row r="97" spans="1:2" x14ac:dyDescent="0.25">
      <c r="A97" s="3">
        <v>4266.8509999999997</v>
      </c>
      <c r="B97" s="2">
        <v>263110</v>
      </c>
    </row>
    <row r="98" spans="1:2" x14ac:dyDescent="0.25">
      <c r="A98" s="3">
        <v>7033.0870000000004</v>
      </c>
      <c r="B98" s="2">
        <v>188191</v>
      </c>
    </row>
    <row r="99" spans="1:2" x14ac:dyDescent="0.25">
      <c r="A99" s="3">
        <v>7535.6130000000003</v>
      </c>
      <c r="B99" s="2">
        <v>367854</v>
      </c>
    </row>
    <row r="100" spans="1:2" x14ac:dyDescent="0.25">
      <c r="A100" s="3">
        <v>11014.428</v>
      </c>
      <c r="B100" s="2">
        <v>400000</v>
      </c>
    </row>
    <row r="101" spans="1:2" x14ac:dyDescent="0.25">
      <c r="A101" s="3">
        <v>13029.816000000001</v>
      </c>
      <c r="B101" s="2">
        <v>311105</v>
      </c>
    </row>
    <row r="102" spans="1:2" x14ac:dyDescent="0.25">
      <c r="A102" s="3" t="s">
        <v>109</v>
      </c>
      <c r="B102" s="2">
        <v>49761.51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CD62-FBCA-41CF-8CD6-BE3D0E3345D5}">
  <dimension ref="A1:B82"/>
  <sheetViews>
    <sheetView tabSelected="1" workbookViewId="0">
      <selection activeCell="H29" sqref="H29"/>
    </sheetView>
  </sheetViews>
  <sheetFormatPr defaultRowHeight="15" x14ac:dyDescent="0.25"/>
  <cols>
    <col min="1" max="1" width="13.140625" bestFit="1" customWidth="1"/>
    <col min="2" max="2" width="18.28515625" bestFit="1" customWidth="1"/>
  </cols>
  <sheetData>
    <row r="1" spans="1:2" x14ac:dyDescent="0.25">
      <c r="A1" s="1" t="s">
        <v>108</v>
      </c>
      <c r="B1" t="s">
        <v>110</v>
      </c>
    </row>
    <row r="2" spans="1:2" x14ac:dyDescent="0.25">
      <c r="A2" s="3">
        <v>6088</v>
      </c>
      <c r="B2" s="2">
        <v>130.42857142857142</v>
      </c>
    </row>
    <row r="3" spans="1:2" x14ac:dyDescent="0.25">
      <c r="A3" s="3">
        <v>6220</v>
      </c>
      <c r="B3" s="2">
        <v>372</v>
      </c>
    </row>
    <row r="4" spans="1:2" x14ac:dyDescent="0.25">
      <c r="A4" s="3">
        <v>6224</v>
      </c>
      <c r="B4" s="2">
        <v>275.33333333333331</v>
      </c>
    </row>
    <row r="5" spans="1:2" x14ac:dyDescent="0.25">
      <c r="A5" s="3">
        <v>6228</v>
      </c>
      <c r="B5" s="2">
        <v>251</v>
      </c>
    </row>
    <row r="6" spans="1:2" x14ac:dyDescent="0.25">
      <c r="A6" s="3">
        <v>6356</v>
      </c>
      <c r="B6" s="2">
        <v>823.5</v>
      </c>
    </row>
    <row r="7" spans="1:2" x14ac:dyDescent="0.25">
      <c r="A7" s="3">
        <v>6360</v>
      </c>
      <c r="B7" s="2">
        <v>812</v>
      </c>
    </row>
    <row r="8" spans="1:2" x14ac:dyDescent="0.25">
      <c r="A8" s="3">
        <v>6372</v>
      </c>
      <c r="B8" s="2">
        <v>757.5</v>
      </c>
    </row>
    <row r="9" spans="1:2" x14ac:dyDescent="0.25">
      <c r="A9" s="3">
        <v>6388</v>
      </c>
      <c r="B9" s="2">
        <v>747</v>
      </c>
    </row>
    <row r="10" spans="1:2" x14ac:dyDescent="0.25">
      <c r="A10" s="3">
        <v>6400</v>
      </c>
      <c r="B10" s="2">
        <v>1135</v>
      </c>
    </row>
    <row r="11" spans="1:2" x14ac:dyDescent="0.25">
      <c r="A11" s="3">
        <v>6416</v>
      </c>
      <c r="B11" s="2">
        <v>1044</v>
      </c>
    </row>
    <row r="12" spans="1:2" x14ac:dyDescent="0.25">
      <c r="A12" s="3">
        <v>6540</v>
      </c>
      <c r="B12" s="2">
        <v>1343</v>
      </c>
    </row>
    <row r="13" spans="1:2" x14ac:dyDescent="0.25">
      <c r="A13" s="3">
        <v>6552</v>
      </c>
      <c r="B13" s="2">
        <v>1460</v>
      </c>
    </row>
    <row r="14" spans="1:2" x14ac:dyDescent="0.25">
      <c r="A14" s="3">
        <v>6560</v>
      </c>
      <c r="B14" s="2">
        <v>1726</v>
      </c>
    </row>
    <row r="15" spans="1:2" x14ac:dyDescent="0.25">
      <c r="A15" s="3">
        <v>6592</v>
      </c>
      <c r="B15" s="2">
        <v>1587</v>
      </c>
    </row>
    <row r="16" spans="1:2" x14ac:dyDescent="0.25">
      <c r="A16" s="3">
        <v>6600</v>
      </c>
      <c r="B16" s="2">
        <v>1235</v>
      </c>
    </row>
    <row r="17" spans="1:2" x14ac:dyDescent="0.25">
      <c r="A17" s="3">
        <v>6688</v>
      </c>
      <c r="B17" s="2">
        <v>1877</v>
      </c>
    </row>
    <row r="18" spans="1:2" x14ac:dyDescent="0.25">
      <c r="A18" s="3">
        <v>6720</v>
      </c>
      <c r="B18" s="2">
        <v>2041</v>
      </c>
    </row>
    <row r="19" spans="1:2" x14ac:dyDescent="0.25">
      <c r="A19" s="3">
        <v>6788</v>
      </c>
      <c r="B19" s="2">
        <v>2219</v>
      </c>
    </row>
    <row r="20" spans="1:2" x14ac:dyDescent="0.25">
      <c r="A20" s="3">
        <v>6840</v>
      </c>
      <c r="B20" s="2">
        <v>2624</v>
      </c>
    </row>
    <row r="21" spans="1:2" x14ac:dyDescent="0.25">
      <c r="A21" s="3">
        <v>6860</v>
      </c>
      <c r="B21" s="2">
        <v>2413</v>
      </c>
    </row>
    <row r="22" spans="1:2" x14ac:dyDescent="0.25">
      <c r="A22" s="3">
        <v>7060</v>
      </c>
      <c r="B22" s="2">
        <v>2853</v>
      </c>
    </row>
    <row r="23" spans="1:2" x14ac:dyDescent="0.25">
      <c r="A23" s="3">
        <v>7064</v>
      </c>
      <c r="B23" s="2">
        <v>3103</v>
      </c>
    </row>
    <row r="24" spans="1:2" x14ac:dyDescent="0.25">
      <c r="A24" s="3">
        <v>7144</v>
      </c>
      <c r="B24" s="2">
        <v>3669</v>
      </c>
    </row>
    <row r="25" spans="1:2" x14ac:dyDescent="0.25">
      <c r="A25" s="3">
        <v>7208</v>
      </c>
      <c r="B25" s="2">
        <v>3374</v>
      </c>
    </row>
    <row r="26" spans="1:2" x14ac:dyDescent="0.25">
      <c r="A26" s="3">
        <v>7288</v>
      </c>
      <c r="B26" s="2">
        <v>3989</v>
      </c>
    </row>
    <row r="27" spans="1:2" x14ac:dyDescent="0.25">
      <c r="A27" s="3">
        <v>7536</v>
      </c>
      <c r="B27" s="2">
        <v>4338</v>
      </c>
    </row>
    <row r="28" spans="1:2" x14ac:dyDescent="0.25">
      <c r="A28" s="3">
        <v>7556</v>
      </c>
      <c r="B28" s="2">
        <v>4717</v>
      </c>
    </row>
    <row r="29" spans="1:2" x14ac:dyDescent="0.25">
      <c r="A29" s="3">
        <v>7660</v>
      </c>
      <c r="B29" s="2">
        <v>5129</v>
      </c>
    </row>
    <row r="30" spans="1:2" x14ac:dyDescent="0.25">
      <c r="A30" s="3">
        <v>7884</v>
      </c>
      <c r="B30" s="2">
        <v>5578</v>
      </c>
    </row>
    <row r="31" spans="1:2" x14ac:dyDescent="0.25">
      <c r="A31" s="3">
        <v>7992</v>
      </c>
      <c r="B31" s="2">
        <v>6065</v>
      </c>
    </row>
    <row r="32" spans="1:2" x14ac:dyDescent="0.25">
      <c r="A32" s="3">
        <v>8116</v>
      </c>
      <c r="B32" s="2">
        <v>6595</v>
      </c>
    </row>
    <row r="33" spans="1:2" x14ac:dyDescent="0.25">
      <c r="A33" s="3">
        <v>8224</v>
      </c>
      <c r="B33" s="2">
        <v>7171</v>
      </c>
    </row>
    <row r="34" spans="1:2" x14ac:dyDescent="0.25">
      <c r="A34" s="3">
        <v>8316</v>
      </c>
      <c r="B34" s="2">
        <v>7798</v>
      </c>
    </row>
    <row r="35" spans="1:2" x14ac:dyDescent="0.25">
      <c r="A35" s="3">
        <v>8772</v>
      </c>
      <c r="B35" s="2">
        <v>8480</v>
      </c>
    </row>
    <row r="36" spans="1:2" x14ac:dyDescent="0.25">
      <c r="A36" s="3">
        <v>8924</v>
      </c>
      <c r="B36" s="2">
        <v>10026</v>
      </c>
    </row>
    <row r="37" spans="1:2" x14ac:dyDescent="0.25">
      <c r="A37" s="3">
        <v>9216</v>
      </c>
      <c r="B37" s="2">
        <v>9221</v>
      </c>
    </row>
    <row r="38" spans="1:2" x14ac:dyDescent="0.25">
      <c r="A38" s="3">
        <v>9300</v>
      </c>
      <c r="B38" s="2">
        <v>10903</v>
      </c>
    </row>
    <row r="39" spans="1:2" x14ac:dyDescent="0.25">
      <c r="A39" s="3">
        <v>9632</v>
      </c>
      <c r="B39" s="2">
        <v>11855</v>
      </c>
    </row>
    <row r="40" spans="1:2" x14ac:dyDescent="0.25">
      <c r="A40" s="3">
        <v>10260</v>
      </c>
      <c r="B40" s="2">
        <v>14018</v>
      </c>
    </row>
    <row r="41" spans="1:2" x14ac:dyDescent="0.25">
      <c r="A41" s="3">
        <v>10364</v>
      </c>
      <c r="B41" s="2">
        <v>12891</v>
      </c>
    </row>
    <row r="42" spans="1:2" x14ac:dyDescent="0.25">
      <c r="A42" s="3">
        <v>11176</v>
      </c>
      <c r="B42" s="2">
        <v>15243</v>
      </c>
    </row>
    <row r="43" spans="1:2" x14ac:dyDescent="0.25">
      <c r="A43" s="3">
        <v>11272</v>
      </c>
      <c r="B43" s="2">
        <v>16575</v>
      </c>
    </row>
    <row r="44" spans="1:2" x14ac:dyDescent="0.25">
      <c r="A44" s="3">
        <v>11580</v>
      </c>
      <c r="B44" s="2">
        <v>18023</v>
      </c>
    </row>
    <row r="45" spans="1:2" x14ac:dyDescent="0.25">
      <c r="A45" s="3">
        <v>12184</v>
      </c>
      <c r="B45" s="2">
        <v>21311</v>
      </c>
    </row>
    <row r="46" spans="1:2" x14ac:dyDescent="0.25">
      <c r="A46" s="3">
        <v>12572</v>
      </c>
      <c r="B46" s="2">
        <v>23173</v>
      </c>
    </row>
    <row r="47" spans="1:2" x14ac:dyDescent="0.25">
      <c r="A47" s="3">
        <v>13312</v>
      </c>
      <c r="B47" s="2">
        <v>27400</v>
      </c>
    </row>
    <row r="48" spans="1:2" x14ac:dyDescent="0.25">
      <c r="A48" s="3">
        <v>14676</v>
      </c>
      <c r="B48" s="2">
        <v>19598</v>
      </c>
    </row>
    <row r="49" spans="1:2" x14ac:dyDescent="0.25">
      <c r="A49" s="3">
        <v>15168</v>
      </c>
      <c r="B49" s="2">
        <v>29795</v>
      </c>
    </row>
    <row r="50" spans="1:2" x14ac:dyDescent="0.25">
      <c r="A50" s="3">
        <v>15484</v>
      </c>
      <c r="B50" s="2">
        <v>25198</v>
      </c>
    </row>
    <row r="51" spans="1:2" x14ac:dyDescent="0.25">
      <c r="A51" s="3">
        <v>16952</v>
      </c>
      <c r="B51" s="2">
        <v>32399</v>
      </c>
    </row>
    <row r="52" spans="1:2" x14ac:dyDescent="0.25">
      <c r="A52" s="3">
        <v>17052</v>
      </c>
      <c r="B52" s="2">
        <v>35230</v>
      </c>
    </row>
    <row r="53" spans="1:2" x14ac:dyDescent="0.25">
      <c r="A53" s="3">
        <v>17360</v>
      </c>
      <c r="B53" s="2">
        <v>38309</v>
      </c>
    </row>
    <row r="54" spans="1:2" x14ac:dyDescent="0.25">
      <c r="A54" s="3">
        <v>18928</v>
      </c>
      <c r="B54" s="2">
        <v>45296</v>
      </c>
    </row>
    <row r="55" spans="1:2" x14ac:dyDescent="0.25">
      <c r="A55" s="3">
        <v>19716</v>
      </c>
      <c r="B55" s="2">
        <v>49255</v>
      </c>
    </row>
    <row r="56" spans="1:2" x14ac:dyDescent="0.25">
      <c r="A56" s="3">
        <v>23000</v>
      </c>
      <c r="B56" s="2">
        <v>58240</v>
      </c>
    </row>
    <row r="57" spans="1:2" x14ac:dyDescent="0.25">
      <c r="A57" s="3">
        <v>24040</v>
      </c>
      <c r="B57" s="2">
        <v>63329</v>
      </c>
    </row>
    <row r="58" spans="1:2" x14ac:dyDescent="0.25">
      <c r="A58" s="3">
        <v>26552</v>
      </c>
      <c r="B58" s="2">
        <v>53559</v>
      </c>
    </row>
    <row r="59" spans="1:2" x14ac:dyDescent="0.25">
      <c r="A59" s="3">
        <v>27448</v>
      </c>
      <c r="B59" s="2">
        <v>41656</v>
      </c>
    </row>
    <row r="60" spans="1:2" x14ac:dyDescent="0.25">
      <c r="A60" s="3">
        <v>28136</v>
      </c>
      <c r="B60" s="2">
        <v>74881</v>
      </c>
    </row>
    <row r="61" spans="1:2" x14ac:dyDescent="0.25">
      <c r="A61" s="3">
        <v>30008</v>
      </c>
      <c r="B61" s="2">
        <v>81425</v>
      </c>
    </row>
    <row r="62" spans="1:2" x14ac:dyDescent="0.25">
      <c r="A62" s="3">
        <v>31560</v>
      </c>
      <c r="B62" s="2">
        <v>96277</v>
      </c>
    </row>
    <row r="63" spans="1:2" x14ac:dyDescent="0.25">
      <c r="A63" s="3">
        <v>34160</v>
      </c>
      <c r="B63" s="2">
        <v>104691</v>
      </c>
    </row>
    <row r="64" spans="1:2" x14ac:dyDescent="0.25">
      <c r="A64" s="3">
        <v>39852</v>
      </c>
      <c r="B64" s="2">
        <v>123788</v>
      </c>
    </row>
    <row r="65" spans="1:2" x14ac:dyDescent="0.25">
      <c r="A65" s="3">
        <v>40168</v>
      </c>
      <c r="B65" s="2">
        <v>68863</v>
      </c>
    </row>
    <row r="66" spans="1:2" x14ac:dyDescent="0.25">
      <c r="A66" s="3">
        <v>42480</v>
      </c>
      <c r="B66" s="2">
        <v>88540</v>
      </c>
    </row>
    <row r="67" spans="1:2" x14ac:dyDescent="0.25">
      <c r="A67" s="3">
        <v>46540</v>
      </c>
      <c r="B67" s="2">
        <v>134605</v>
      </c>
    </row>
    <row r="68" spans="1:2" x14ac:dyDescent="0.25">
      <c r="A68" s="3">
        <v>50264</v>
      </c>
      <c r="B68" s="2">
        <v>159159</v>
      </c>
    </row>
    <row r="69" spans="1:2" x14ac:dyDescent="0.25">
      <c r="A69" s="3">
        <v>51484</v>
      </c>
      <c r="B69" s="2">
        <v>113840</v>
      </c>
    </row>
    <row r="70" spans="1:2" x14ac:dyDescent="0.25">
      <c r="A70" s="3">
        <v>51632</v>
      </c>
      <c r="B70" s="2">
        <v>173068</v>
      </c>
    </row>
    <row r="71" spans="1:2" x14ac:dyDescent="0.25">
      <c r="A71" s="3">
        <v>56980</v>
      </c>
      <c r="B71" s="2">
        <v>204637</v>
      </c>
    </row>
    <row r="72" spans="1:2" x14ac:dyDescent="0.25">
      <c r="A72" s="3">
        <v>71924</v>
      </c>
      <c r="B72" s="2">
        <v>222520</v>
      </c>
    </row>
    <row r="73" spans="1:2" x14ac:dyDescent="0.25">
      <c r="A73" s="3">
        <v>72400</v>
      </c>
      <c r="B73" s="2">
        <v>146368</v>
      </c>
    </row>
    <row r="74" spans="1:2" x14ac:dyDescent="0.25">
      <c r="A74" s="3">
        <v>83224</v>
      </c>
      <c r="B74" s="2">
        <v>263110</v>
      </c>
    </row>
    <row r="75" spans="1:2" x14ac:dyDescent="0.25">
      <c r="A75" s="3">
        <v>86644</v>
      </c>
      <c r="B75" s="2">
        <v>286103</v>
      </c>
    </row>
    <row r="76" spans="1:2" x14ac:dyDescent="0.25">
      <c r="A76" s="3">
        <v>91736</v>
      </c>
      <c r="B76" s="2">
        <v>241965</v>
      </c>
    </row>
    <row r="77" spans="1:2" x14ac:dyDescent="0.25">
      <c r="A77" s="3">
        <v>92700</v>
      </c>
      <c r="B77" s="2">
        <v>338292</v>
      </c>
    </row>
    <row r="78" spans="1:2" x14ac:dyDescent="0.25">
      <c r="A78" s="3">
        <v>94076</v>
      </c>
      <c r="B78" s="2">
        <v>188191</v>
      </c>
    </row>
    <row r="79" spans="1:2" x14ac:dyDescent="0.25">
      <c r="A79" s="3">
        <v>101704</v>
      </c>
      <c r="B79" s="2">
        <v>367854</v>
      </c>
    </row>
    <row r="80" spans="1:2" x14ac:dyDescent="0.25">
      <c r="A80" s="3">
        <v>131676</v>
      </c>
      <c r="B80" s="2">
        <v>311105</v>
      </c>
    </row>
    <row r="81" spans="1:2" x14ac:dyDescent="0.25">
      <c r="A81" s="3">
        <v>146100</v>
      </c>
      <c r="B81" s="2">
        <v>400000</v>
      </c>
    </row>
    <row r="82" spans="1:2" x14ac:dyDescent="0.25">
      <c r="A82" s="3" t="s">
        <v>109</v>
      </c>
      <c r="B82" s="2">
        <v>49761.51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B845-BDF4-43D0-B6F9-869B93C3A5B5}">
  <dimension ref="A1:H101"/>
  <sheetViews>
    <sheetView workbookViewId="0">
      <selection activeCell="B1" sqref="B1:H101"/>
    </sheetView>
  </sheetViews>
  <sheetFormatPr defaultRowHeight="15" x14ac:dyDescent="0.25"/>
  <cols>
    <col min="1" max="1" width="28.85546875" bestFit="1" customWidth="1"/>
    <col min="2" max="3" width="9.5703125" style="2" bestFit="1" customWidth="1"/>
    <col min="4" max="4" width="9.7109375" style="2" bestFit="1" customWidth="1"/>
    <col min="5" max="5" width="11.85546875" style="2" bestFit="1" customWidth="1"/>
    <col min="6" max="6" width="10.140625" style="2" bestFit="1" customWidth="1"/>
    <col min="7" max="7" width="11.7109375" style="2" bestFit="1" customWidth="1"/>
    <col min="8" max="8" width="9.28515625" style="2" bestFit="1" customWidth="1"/>
  </cols>
  <sheetData>
    <row r="1" spans="1:8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107</v>
      </c>
    </row>
    <row r="2" spans="1:8" x14ac:dyDescent="0.25">
      <c r="A2" t="s">
        <v>8</v>
      </c>
      <c r="B2" s="2">
        <v>100</v>
      </c>
      <c r="C2" s="2">
        <v>1.7290000000000001</v>
      </c>
      <c r="D2" s="2">
        <v>4.9000000000000002E-2</v>
      </c>
      <c r="E2" s="2">
        <v>5.0000000000000001E-3</v>
      </c>
      <c r="F2" s="2">
        <v>1.782</v>
      </c>
      <c r="G2" s="2">
        <v>6088</v>
      </c>
      <c r="H2" s="2">
        <f>VALUE(MID(A2, FIND("Holes_",A2)+6, FIND(".",A2,FIND("Holes_",A2))-FIND("Holes_",A2)-6))</f>
        <v>5</v>
      </c>
    </row>
    <row r="3" spans="1:8" x14ac:dyDescent="0.25">
      <c r="A3" t="s">
        <v>12</v>
      </c>
      <c r="B3" s="2">
        <v>109</v>
      </c>
      <c r="C3" s="2">
        <v>1.639</v>
      </c>
      <c r="D3" s="2">
        <v>0.10100000000000001</v>
      </c>
      <c r="E3" s="2">
        <v>6.8000000000000005E-2</v>
      </c>
      <c r="F3" s="2">
        <v>1.8080000000000001</v>
      </c>
      <c r="G3" s="2">
        <v>6088</v>
      </c>
      <c r="H3" s="2">
        <f>VALUE(MID(A3, FIND("Holes_",A3)+6, FIND(".",A3,FIND("Holes_",A3))-FIND("Holes_",A3)-6))</f>
        <v>6</v>
      </c>
    </row>
    <row r="4" spans="1:8" x14ac:dyDescent="0.25">
      <c r="A4" t="s">
        <v>16</v>
      </c>
      <c r="B4" s="2">
        <v>118</v>
      </c>
      <c r="C4" s="2">
        <v>1.7450000000000001</v>
      </c>
      <c r="D4" s="2">
        <v>5.6000000000000001E-2</v>
      </c>
      <c r="E4" s="2">
        <v>6.9000000000000006E-2</v>
      </c>
      <c r="F4" s="2">
        <v>1.87</v>
      </c>
      <c r="G4" s="2">
        <v>6088</v>
      </c>
      <c r="H4" s="2">
        <f>VALUE(MID(A4, FIND("Holes_",A4)+6, FIND(".",A4,FIND("Holes_",A4))-FIND("Holes_",A4)-6))</f>
        <v>3</v>
      </c>
    </row>
    <row r="5" spans="1:8" x14ac:dyDescent="0.25">
      <c r="A5" t="s">
        <v>20</v>
      </c>
      <c r="B5" s="2">
        <v>129</v>
      </c>
      <c r="C5" s="2">
        <v>1.599</v>
      </c>
      <c r="D5" s="2">
        <v>5.8000000000000003E-2</v>
      </c>
      <c r="E5" s="2">
        <v>0.11</v>
      </c>
      <c r="F5" s="2">
        <v>1.7669999999999999</v>
      </c>
      <c r="G5" s="2">
        <v>6088</v>
      </c>
      <c r="H5" s="2">
        <f>VALUE(MID(A5, FIND("Holes_",A5)+6, FIND(".",A5,FIND("Holes_",A5))-FIND("Holes_",A5)-6))</f>
        <v>0</v>
      </c>
    </row>
    <row r="6" spans="1:8" x14ac:dyDescent="0.25">
      <c r="A6" t="s">
        <v>24</v>
      </c>
      <c r="B6" s="2">
        <v>140</v>
      </c>
      <c r="C6" s="2">
        <v>1.5760000000000001</v>
      </c>
      <c r="D6" s="2">
        <v>0.06</v>
      </c>
      <c r="E6" s="2">
        <v>0.152</v>
      </c>
      <c r="F6" s="2">
        <v>1.788</v>
      </c>
      <c r="G6" s="2">
        <v>6088</v>
      </c>
      <c r="H6" s="2">
        <f>VALUE(MID(A6, FIND("Holes_",A6)+6, FIND(".",A6,FIND("Holes_",A6))-FIND("Holes_",A6)-6))</f>
        <v>0</v>
      </c>
    </row>
    <row r="7" spans="1:8" x14ac:dyDescent="0.25">
      <c r="A7" t="s">
        <v>28</v>
      </c>
      <c r="B7" s="2">
        <v>152</v>
      </c>
      <c r="C7" s="2">
        <v>1.625</v>
      </c>
      <c r="D7" s="2">
        <v>6.6000000000000003E-2</v>
      </c>
      <c r="E7" s="2">
        <v>0.20399999999999999</v>
      </c>
      <c r="F7" s="2">
        <v>1.895</v>
      </c>
      <c r="G7" s="2">
        <v>6088</v>
      </c>
      <c r="H7" s="2">
        <f>VALUE(MID(A7, FIND("Holes_",A7)+6, FIND(".",A7,FIND("Holes_",A7))-FIND("Holes_",A7)-6))</f>
        <v>1</v>
      </c>
    </row>
    <row r="8" spans="1:8" x14ac:dyDescent="0.25">
      <c r="A8" t="s">
        <v>32</v>
      </c>
      <c r="B8" s="2">
        <v>165</v>
      </c>
      <c r="C8" s="2">
        <v>1.6220000000000001</v>
      </c>
      <c r="D8" s="2">
        <v>7.0000000000000007E-2</v>
      </c>
      <c r="E8" s="2">
        <v>0.249</v>
      </c>
      <c r="F8" s="2">
        <v>1.9419999999999999</v>
      </c>
      <c r="G8" s="2">
        <v>6088</v>
      </c>
      <c r="H8" s="2">
        <f>VALUE(MID(A8, FIND("Holes_",A8)+6, FIND(".",A8,FIND("Holes_",A8))-FIND("Holes_",A8)-6))</f>
        <v>6</v>
      </c>
    </row>
    <row r="9" spans="1:8" x14ac:dyDescent="0.25">
      <c r="A9" t="s">
        <v>36</v>
      </c>
      <c r="B9" s="2">
        <v>180</v>
      </c>
      <c r="C9" s="2">
        <v>1.552</v>
      </c>
      <c r="D9" s="2">
        <v>8.5999999999999993E-2</v>
      </c>
      <c r="E9" s="2">
        <v>0.30399999999999999</v>
      </c>
      <c r="F9" s="2">
        <v>1.9430000000000001</v>
      </c>
      <c r="G9" s="2">
        <v>6224</v>
      </c>
      <c r="H9" s="2">
        <f>VALUE(MID(A9, FIND("Holes_",A9)+6, FIND(".",A9,FIND("Holes_",A9))-FIND("Holes_",A9)-6))</f>
        <v>6</v>
      </c>
    </row>
    <row r="10" spans="1:8" x14ac:dyDescent="0.25">
      <c r="A10" t="s">
        <v>40</v>
      </c>
      <c r="B10" s="2">
        <v>195</v>
      </c>
      <c r="C10" s="2">
        <v>2.1179999999999999</v>
      </c>
      <c r="D10" s="2">
        <v>0.08</v>
      </c>
      <c r="E10" s="2">
        <v>0.36599999999999999</v>
      </c>
      <c r="F10" s="2">
        <v>2.5640000000000001</v>
      </c>
      <c r="G10" s="2">
        <v>6220</v>
      </c>
      <c r="H10" s="2">
        <f>VALUE(MID(A10, FIND("Holes_",A10)+6, FIND(".",A10,FIND("Holes_",A10))-FIND("Holes_",A10)-6))</f>
        <v>0</v>
      </c>
    </row>
    <row r="11" spans="1:8" x14ac:dyDescent="0.25">
      <c r="A11" t="s">
        <v>44</v>
      </c>
      <c r="B11" s="2">
        <v>213</v>
      </c>
      <c r="C11" s="2">
        <v>1.6779999999999999</v>
      </c>
      <c r="D11" s="2">
        <v>8.5000000000000006E-2</v>
      </c>
      <c r="E11" s="2">
        <v>0.44700000000000001</v>
      </c>
      <c r="F11" s="2">
        <v>2.21</v>
      </c>
      <c r="G11" s="2">
        <v>6220</v>
      </c>
      <c r="H11" s="2">
        <f>VALUE(MID(A11, FIND("Holes_",A11)+6, FIND(".",A11,FIND("Holes_",A11))-FIND("Holes_",A11)-6))</f>
        <v>2</v>
      </c>
    </row>
    <row r="12" spans="1:8" x14ac:dyDescent="0.25">
      <c r="A12" t="s">
        <v>48</v>
      </c>
      <c r="B12" s="2">
        <v>231</v>
      </c>
      <c r="C12" s="2">
        <v>1.5840000000000001</v>
      </c>
      <c r="D12" s="2">
        <v>0.09</v>
      </c>
      <c r="E12" s="2">
        <v>0.441</v>
      </c>
      <c r="F12" s="2">
        <v>2.1150000000000002</v>
      </c>
      <c r="G12" s="2">
        <v>6224</v>
      </c>
      <c r="H12" s="2">
        <f>VALUE(MID(A12, FIND("Holes_",A12)+6, FIND(".",A12,FIND("Holes_",A12))-FIND("Holes_",A12)-6))</f>
        <v>2</v>
      </c>
    </row>
    <row r="13" spans="1:8" x14ac:dyDescent="0.25">
      <c r="A13" t="s">
        <v>52</v>
      </c>
      <c r="B13" s="2">
        <v>251</v>
      </c>
      <c r="C13" s="2">
        <v>1.8169999999999999</v>
      </c>
      <c r="D13" s="2">
        <v>9.9000000000000005E-2</v>
      </c>
      <c r="E13" s="2">
        <v>0.51900000000000002</v>
      </c>
      <c r="F13" s="2">
        <v>2.4350000000000001</v>
      </c>
      <c r="G13" s="2">
        <v>6228</v>
      </c>
      <c r="H13" s="2">
        <f>VALUE(MID(A13, FIND("Holes_",A13)+6, FIND(".",A13,FIND("Holes_",A13))-FIND("Holes_",A13)-6))</f>
        <v>2</v>
      </c>
    </row>
    <row r="14" spans="1:8" x14ac:dyDescent="0.25">
      <c r="A14" t="s">
        <v>55</v>
      </c>
      <c r="B14" s="2">
        <v>273</v>
      </c>
      <c r="C14" s="2">
        <v>2.496</v>
      </c>
      <c r="D14" s="2">
        <v>0.108</v>
      </c>
      <c r="E14" s="2">
        <v>0.56000000000000005</v>
      </c>
      <c r="F14" s="2">
        <v>3.165</v>
      </c>
      <c r="G14" s="2">
        <v>6220</v>
      </c>
      <c r="H14" s="2">
        <f>VALUE(MID(A14, FIND("Holes_",A14)+6, FIND(".",A14,FIND("Holes_",A14))-FIND("Holes_",A14)-6))</f>
        <v>6</v>
      </c>
    </row>
    <row r="15" spans="1:8" x14ac:dyDescent="0.25">
      <c r="A15" t="s">
        <v>60</v>
      </c>
      <c r="B15" s="2">
        <v>297</v>
      </c>
      <c r="C15" s="2">
        <v>1.994</v>
      </c>
      <c r="D15" s="2">
        <v>0.123</v>
      </c>
      <c r="E15" s="2">
        <v>0.57199999999999995</v>
      </c>
      <c r="F15" s="2">
        <v>2.6890000000000001</v>
      </c>
      <c r="G15" s="2">
        <v>6220</v>
      </c>
      <c r="H15" s="2">
        <f>VALUE(MID(A15, FIND("Holes_",A15)+6, FIND(".",A15,FIND("Holes_",A15))-FIND("Holes_",A15)-6))</f>
        <v>0</v>
      </c>
    </row>
    <row r="16" spans="1:8" x14ac:dyDescent="0.25">
      <c r="A16" t="s">
        <v>64</v>
      </c>
      <c r="B16" s="2">
        <v>323</v>
      </c>
      <c r="C16" s="2">
        <v>1.9</v>
      </c>
      <c r="D16" s="2">
        <v>0.13</v>
      </c>
      <c r="E16" s="2">
        <v>0.67200000000000004</v>
      </c>
      <c r="F16" s="2">
        <v>2.702</v>
      </c>
      <c r="G16" s="2">
        <v>6220</v>
      </c>
      <c r="H16" s="2">
        <f>VALUE(MID(A16, FIND("Holes_",A16)+6, FIND(".",A16,FIND("Holes_",A16))-FIND("Holes_",A16)-6))</f>
        <v>1</v>
      </c>
    </row>
    <row r="17" spans="1:8" x14ac:dyDescent="0.25">
      <c r="A17" t="s">
        <v>67</v>
      </c>
      <c r="B17" s="2">
        <v>351</v>
      </c>
      <c r="C17" s="2">
        <v>1.7989999999999999</v>
      </c>
      <c r="D17" s="2">
        <v>0.13700000000000001</v>
      </c>
      <c r="E17" s="2">
        <v>0.71099999999999997</v>
      </c>
      <c r="F17" s="2">
        <v>2.6469999999999998</v>
      </c>
      <c r="G17" s="2">
        <v>6220</v>
      </c>
      <c r="H17" s="2">
        <f>VALUE(MID(A17, FIND("Holes_",A17)+6, FIND(".",A17,FIND("Holes_",A17))-FIND("Holes_",A17)-6))</f>
        <v>3</v>
      </c>
    </row>
    <row r="18" spans="1:8" x14ac:dyDescent="0.25">
      <c r="A18" t="s">
        <v>71</v>
      </c>
      <c r="B18" s="2">
        <v>382</v>
      </c>
      <c r="C18" s="2">
        <v>1.8180000000000001</v>
      </c>
      <c r="D18" s="2">
        <v>0.13800000000000001</v>
      </c>
      <c r="E18" s="2">
        <v>0.82299999999999995</v>
      </c>
      <c r="F18" s="2">
        <v>2.7789999999999999</v>
      </c>
      <c r="G18" s="2">
        <v>6220</v>
      </c>
      <c r="H18" s="2">
        <f>VALUE(MID(A18, FIND("Holes_",A18)+6, FIND(".",A18,FIND("Holes_",A18))-FIND("Holes_",A18)-6))</f>
        <v>1</v>
      </c>
    </row>
    <row r="19" spans="1:8" x14ac:dyDescent="0.25">
      <c r="A19" t="s">
        <v>75</v>
      </c>
      <c r="B19" s="2">
        <v>415</v>
      </c>
      <c r="C19" s="2">
        <v>1.931</v>
      </c>
      <c r="D19" s="2">
        <v>0.16900000000000001</v>
      </c>
      <c r="E19" s="2">
        <v>0.91700000000000004</v>
      </c>
      <c r="F19" s="2">
        <v>3.0169999999999999</v>
      </c>
      <c r="G19" s="2">
        <v>6224</v>
      </c>
      <c r="H19" s="2">
        <f>VALUE(MID(A19, FIND("Holes_",A19)+6, FIND(".",A19,FIND("Holes_",A19))-FIND("Holes_",A19)-6))</f>
        <v>5</v>
      </c>
    </row>
    <row r="20" spans="1:8" x14ac:dyDescent="0.25">
      <c r="A20" t="s">
        <v>79</v>
      </c>
      <c r="B20" s="2">
        <v>452</v>
      </c>
      <c r="C20" s="2">
        <v>1.998</v>
      </c>
      <c r="D20" s="2">
        <v>0.2</v>
      </c>
      <c r="E20" s="2">
        <v>1.0589999999999999</v>
      </c>
      <c r="F20" s="2">
        <v>3.2570000000000001</v>
      </c>
      <c r="G20" s="2">
        <v>6220</v>
      </c>
      <c r="H20" s="2">
        <f>VALUE(MID(A20, FIND("Holes_",A20)+6, FIND(".",A20,FIND("Holes_",A20))-FIND("Holes_",A20)-6))</f>
        <v>4</v>
      </c>
    </row>
    <row r="21" spans="1:8" x14ac:dyDescent="0.25">
      <c r="A21" t="s">
        <v>81</v>
      </c>
      <c r="B21" s="2">
        <v>491</v>
      </c>
      <c r="C21" s="2">
        <v>1.9339999999999999</v>
      </c>
      <c r="D21" s="2">
        <v>0.17499999999999999</v>
      </c>
      <c r="E21" s="2">
        <v>1.0569999999999999</v>
      </c>
      <c r="F21" s="2">
        <v>3.1669999999999998</v>
      </c>
      <c r="G21" s="2">
        <v>6220</v>
      </c>
      <c r="H21" s="2">
        <f>VALUE(MID(A21, FIND("Holes_",A21)+6, FIND(".",A21,FIND("Holes_",A21))-FIND("Holes_",A21)-6))</f>
        <v>5</v>
      </c>
    </row>
    <row r="22" spans="1:8" x14ac:dyDescent="0.25">
      <c r="A22" t="s">
        <v>84</v>
      </c>
      <c r="B22" s="2">
        <v>534</v>
      </c>
      <c r="C22" s="2">
        <v>2.0059999999999998</v>
      </c>
      <c r="D22" s="2">
        <v>0.2</v>
      </c>
      <c r="E22" s="2">
        <v>1.171</v>
      </c>
      <c r="F22" s="2">
        <v>3.3759999999999999</v>
      </c>
      <c r="G22" s="2">
        <v>6220</v>
      </c>
      <c r="H22" s="2">
        <f>VALUE(MID(A22, FIND("Holes_",A22)+6, FIND(".",A22,FIND("Holes_",A22))-FIND("Holes_",A22)-6))</f>
        <v>1</v>
      </c>
    </row>
    <row r="23" spans="1:8" x14ac:dyDescent="0.25">
      <c r="A23" t="s">
        <v>87</v>
      </c>
      <c r="B23" s="2">
        <v>581</v>
      </c>
      <c r="C23" s="2">
        <v>1.921</v>
      </c>
      <c r="D23" s="2">
        <v>0.216</v>
      </c>
      <c r="E23" s="2">
        <v>1.2909999999999999</v>
      </c>
      <c r="F23" s="2">
        <v>3.4279999999999999</v>
      </c>
      <c r="G23" s="2">
        <v>6220</v>
      </c>
      <c r="H23" s="2">
        <f>VALUE(MID(A23, FIND("Holes_",A23)+6, FIND(".",A23,FIND("Holes_",A23))-FIND("Holes_",A23)-6))</f>
        <v>4</v>
      </c>
    </row>
    <row r="24" spans="1:8" x14ac:dyDescent="0.25">
      <c r="A24" t="s">
        <v>90</v>
      </c>
      <c r="B24" s="2">
        <v>632</v>
      </c>
      <c r="C24" s="2">
        <v>1.956</v>
      </c>
      <c r="D24" s="2">
        <v>0.22900000000000001</v>
      </c>
      <c r="E24" s="2">
        <v>1.389</v>
      </c>
      <c r="F24" s="2">
        <v>3.5739999999999998</v>
      </c>
      <c r="G24" s="2">
        <v>6372</v>
      </c>
      <c r="H24" s="2">
        <f>VALUE(MID(A24, FIND("Holes_",A24)+6, FIND(".",A24,FIND("Holes_",A24))-FIND("Holes_",A24)-6))</f>
        <v>4</v>
      </c>
    </row>
    <row r="25" spans="1:8" x14ac:dyDescent="0.25">
      <c r="A25" t="s">
        <v>93</v>
      </c>
      <c r="B25" s="2">
        <v>687</v>
      </c>
      <c r="C25" s="2">
        <v>2.5329999999999999</v>
      </c>
      <c r="D25" s="2">
        <v>0.27500000000000002</v>
      </c>
      <c r="E25" s="2">
        <v>1.53</v>
      </c>
      <c r="F25" s="2">
        <v>4.3369999999999997</v>
      </c>
      <c r="G25" s="2">
        <v>6356</v>
      </c>
      <c r="H25" s="2">
        <f>VALUE(MID(A25, FIND("Holes_",A25)+6, FIND(".",A25,FIND("Holes_",A25))-FIND("Holes_",A25)-6))</f>
        <v>1</v>
      </c>
    </row>
    <row r="26" spans="1:8" x14ac:dyDescent="0.25">
      <c r="A26" t="s">
        <v>96</v>
      </c>
      <c r="B26" s="2">
        <v>747</v>
      </c>
      <c r="C26" s="2">
        <v>2.1509999999999998</v>
      </c>
      <c r="D26" s="2">
        <v>0.26100000000000001</v>
      </c>
      <c r="E26" s="2">
        <v>2.1800000000000002</v>
      </c>
      <c r="F26" s="2">
        <v>4.5919999999999996</v>
      </c>
      <c r="G26" s="2">
        <v>6388</v>
      </c>
      <c r="H26" s="2">
        <f>VALUE(MID(A26, FIND("Holes_",A26)+6, FIND(".",A26,FIND("Holes_",A26))-FIND("Holes_",A26)-6))</f>
        <v>4</v>
      </c>
    </row>
    <row r="27" spans="1:8" x14ac:dyDescent="0.25">
      <c r="A27" t="s">
        <v>99</v>
      </c>
      <c r="B27" s="2">
        <v>812</v>
      </c>
      <c r="C27" s="2">
        <v>2.427</v>
      </c>
      <c r="D27" s="2">
        <v>0.28100000000000003</v>
      </c>
      <c r="E27" s="2">
        <v>1.9179999999999999</v>
      </c>
      <c r="F27" s="2">
        <v>4.625</v>
      </c>
      <c r="G27" s="2">
        <v>6360</v>
      </c>
      <c r="H27" s="2">
        <f>VALUE(MID(A27, FIND("Holes_",A27)+6, FIND(".",A27,FIND("Holes_",A27))-FIND("Holes_",A27)-6))</f>
        <v>4</v>
      </c>
    </row>
    <row r="28" spans="1:8" x14ac:dyDescent="0.25">
      <c r="A28" t="s">
        <v>102</v>
      </c>
      <c r="B28" s="2">
        <v>883</v>
      </c>
      <c r="C28" s="2">
        <v>2.6749999999999998</v>
      </c>
      <c r="D28" s="2">
        <v>0.38400000000000001</v>
      </c>
      <c r="E28" s="2">
        <v>2.129</v>
      </c>
      <c r="F28" s="2">
        <v>5.1879999999999997</v>
      </c>
      <c r="G28" s="2">
        <v>6372</v>
      </c>
      <c r="H28" s="2">
        <f>VALUE(MID(A28, FIND("Holes_",A28)+6, FIND(".",A28,FIND("Holes_",A28))-FIND("Holes_",A28)-6))</f>
        <v>1</v>
      </c>
    </row>
    <row r="29" spans="1:8" x14ac:dyDescent="0.25">
      <c r="A29" t="s">
        <v>105</v>
      </c>
      <c r="B29" s="2">
        <v>960</v>
      </c>
      <c r="C29" s="2">
        <v>2.2229999999999999</v>
      </c>
      <c r="D29" s="2">
        <v>0.33500000000000002</v>
      </c>
      <c r="E29" s="2">
        <v>2.1859999999999999</v>
      </c>
      <c r="F29" s="2">
        <v>4.7439999999999998</v>
      </c>
      <c r="G29" s="2">
        <v>6356</v>
      </c>
      <c r="H29" s="2">
        <f>VALUE(MID(A29, FIND("Holes_",A29)+6, FIND(".",A29,FIND("Holes_",A29))-FIND("Holes_",A29)-6))</f>
        <v>4</v>
      </c>
    </row>
    <row r="30" spans="1:8" x14ac:dyDescent="0.25">
      <c r="A30" t="s">
        <v>9</v>
      </c>
      <c r="B30" s="2">
        <v>1044</v>
      </c>
      <c r="C30" s="2">
        <v>2.996</v>
      </c>
      <c r="D30" s="2">
        <v>0.4</v>
      </c>
      <c r="E30" s="2">
        <v>2.3319999999999999</v>
      </c>
      <c r="F30" s="2">
        <v>5.7279999999999998</v>
      </c>
      <c r="G30" s="2">
        <v>6416</v>
      </c>
      <c r="H30" s="2">
        <f>VALUE(MID(A30, FIND("Holes_",A30)+6, FIND(".",A30,FIND("Holes_",A30))-FIND("Holes_",A30)-6))</f>
        <v>5</v>
      </c>
    </row>
    <row r="31" spans="1:8" x14ac:dyDescent="0.25">
      <c r="A31" t="s">
        <v>13</v>
      </c>
      <c r="B31" s="2">
        <v>1135</v>
      </c>
      <c r="C31" s="2">
        <v>2.3540000000000001</v>
      </c>
      <c r="D31" s="2">
        <v>0.47099999999999997</v>
      </c>
      <c r="E31" s="2">
        <v>2.7029999999999998</v>
      </c>
      <c r="F31" s="2">
        <v>5.5279999999999996</v>
      </c>
      <c r="G31" s="2">
        <v>6400</v>
      </c>
      <c r="H31" s="2">
        <f>VALUE(MID(A31, FIND("Holes_",A31)+6, FIND(".",A31,FIND("Holes_",A31))-FIND("Holes_",A31)-6))</f>
        <v>3</v>
      </c>
    </row>
    <row r="32" spans="1:8" x14ac:dyDescent="0.25">
      <c r="A32" t="s">
        <v>17</v>
      </c>
      <c r="B32" s="2">
        <v>1235</v>
      </c>
      <c r="C32" s="2">
        <v>2.6549999999999998</v>
      </c>
      <c r="D32" s="2">
        <v>0.50700000000000001</v>
      </c>
      <c r="E32" s="2">
        <v>3.1560000000000001</v>
      </c>
      <c r="F32" s="2">
        <v>6.3179999999999996</v>
      </c>
      <c r="G32" s="2">
        <v>6600</v>
      </c>
      <c r="H32" s="2">
        <f>VALUE(MID(A32, FIND("Holes_",A32)+6, FIND(".",A32,FIND("Holes_",A32))-FIND("Holes_",A32)-6))</f>
        <v>0</v>
      </c>
    </row>
    <row r="33" spans="1:8" x14ac:dyDescent="0.25">
      <c r="A33" t="s">
        <v>21</v>
      </c>
      <c r="B33" s="2">
        <v>1343</v>
      </c>
      <c r="C33" s="2">
        <v>2.968</v>
      </c>
      <c r="D33" s="2">
        <v>0.442</v>
      </c>
      <c r="E33" s="2">
        <v>3.3420000000000001</v>
      </c>
      <c r="F33" s="2">
        <v>6.7510000000000003</v>
      </c>
      <c r="G33" s="2">
        <v>6540</v>
      </c>
      <c r="H33" s="2">
        <f>VALUE(MID(A33, FIND("Holes_",A33)+6, FIND(".",A33,FIND("Holes_",A33))-FIND("Holes_",A33)-6))</f>
        <v>5</v>
      </c>
    </row>
    <row r="34" spans="1:8" x14ac:dyDescent="0.25">
      <c r="A34" t="s">
        <v>25</v>
      </c>
      <c r="B34" s="2">
        <v>1460</v>
      </c>
      <c r="C34" s="2">
        <v>2.89</v>
      </c>
      <c r="D34" s="2">
        <v>0.48199999999999998</v>
      </c>
      <c r="E34" s="2">
        <v>3.4769999999999999</v>
      </c>
      <c r="F34" s="2">
        <v>6.8490000000000002</v>
      </c>
      <c r="G34" s="2">
        <v>6552</v>
      </c>
      <c r="H34" s="2">
        <f>VALUE(MID(A34, FIND("Holes_",A34)+6, FIND(".",A34,FIND("Holes_",A34))-FIND("Holes_",A34)-6))</f>
        <v>1</v>
      </c>
    </row>
    <row r="35" spans="1:8" x14ac:dyDescent="0.25">
      <c r="A35" t="s">
        <v>29</v>
      </c>
      <c r="B35" s="2">
        <v>1587</v>
      </c>
      <c r="C35" s="2">
        <v>2.7559999999999998</v>
      </c>
      <c r="D35" s="2">
        <v>0.57199999999999995</v>
      </c>
      <c r="E35" s="2">
        <v>3.8809999999999998</v>
      </c>
      <c r="F35" s="2">
        <v>7.2089999999999996</v>
      </c>
      <c r="G35" s="2">
        <v>6592</v>
      </c>
      <c r="H35" s="2">
        <f>VALUE(MID(A35, FIND("Holes_",A35)+6, FIND(".",A35,FIND("Holes_",A35))-FIND("Holes_",A35)-6))</f>
        <v>3</v>
      </c>
    </row>
    <row r="36" spans="1:8" x14ac:dyDescent="0.25">
      <c r="A36" t="s">
        <v>33</v>
      </c>
      <c r="B36" s="2">
        <v>1726</v>
      </c>
      <c r="C36" s="2">
        <v>2.9769999999999999</v>
      </c>
      <c r="D36" s="2">
        <v>0.55700000000000005</v>
      </c>
      <c r="E36" s="2">
        <v>4.5270000000000001</v>
      </c>
      <c r="F36" s="2">
        <v>8.0619999999999994</v>
      </c>
      <c r="G36" s="2">
        <v>6560</v>
      </c>
      <c r="H36" s="2">
        <f>VALUE(MID(A36, FIND("Holes_",A36)+6, FIND(".",A36,FIND("Holes_",A36))-FIND("Holes_",A36)-6))</f>
        <v>3</v>
      </c>
    </row>
    <row r="37" spans="1:8" x14ac:dyDescent="0.25">
      <c r="A37" t="s">
        <v>37</v>
      </c>
      <c r="B37" s="2">
        <v>1877</v>
      </c>
      <c r="C37" s="2">
        <v>3.6640000000000001</v>
      </c>
      <c r="D37" s="2">
        <v>0.621</v>
      </c>
      <c r="E37" s="2">
        <v>4.9039999999999999</v>
      </c>
      <c r="F37" s="2">
        <v>9.19</v>
      </c>
      <c r="G37" s="2">
        <v>6688</v>
      </c>
      <c r="H37" s="2">
        <f>VALUE(MID(A37, FIND("Holes_",A37)+6, FIND(".",A37,FIND("Holes_",A37))-FIND("Holes_",A37)-6))</f>
        <v>1</v>
      </c>
    </row>
    <row r="38" spans="1:8" x14ac:dyDescent="0.25">
      <c r="A38" t="s">
        <v>41</v>
      </c>
      <c r="B38" s="2">
        <v>2041</v>
      </c>
      <c r="C38" s="2">
        <v>3.3140000000000001</v>
      </c>
      <c r="D38" s="2">
        <v>0.90700000000000003</v>
      </c>
      <c r="E38" s="2">
        <v>5.95</v>
      </c>
      <c r="F38" s="2">
        <v>10.170999999999999</v>
      </c>
      <c r="G38" s="2">
        <v>6720</v>
      </c>
      <c r="H38" s="2">
        <f>VALUE(MID(A38, FIND("Holes_",A38)+6, FIND(".",A38,FIND("Holes_",A38))-FIND("Holes_",A38)-6))</f>
        <v>0</v>
      </c>
    </row>
    <row r="39" spans="1:8" x14ac:dyDescent="0.25">
      <c r="A39" t="s">
        <v>45</v>
      </c>
      <c r="B39" s="2">
        <v>2219</v>
      </c>
      <c r="C39" s="2">
        <v>3.4729999999999999</v>
      </c>
      <c r="D39" s="2">
        <v>0.71699999999999997</v>
      </c>
      <c r="E39" s="2">
        <v>5.3079999999999998</v>
      </c>
      <c r="F39" s="2">
        <v>9.4979999999999993</v>
      </c>
      <c r="G39" s="2">
        <v>6788</v>
      </c>
      <c r="H39" s="2">
        <f>VALUE(MID(A39, FIND("Holes_",A39)+6, FIND(".",A39,FIND("Holes_",A39))-FIND("Holes_",A39)-6))</f>
        <v>6</v>
      </c>
    </row>
    <row r="40" spans="1:8" x14ac:dyDescent="0.25">
      <c r="A40" t="s">
        <v>49</v>
      </c>
      <c r="B40" s="2">
        <v>2413</v>
      </c>
      <c r="C40" s="2">
        <v>4.0090000000000003</v>
      </c>
      <c r="D40" s="2">
        <v>0.77700000000000002</v>
      </c>
      <c r="E40" s="2">
        <v>6.0019999999999998</v>
      </c>
      <c r="F40" s="2">
        <v>10.789</v>
      </c>
      <c r="G40" s="2">
        <v>6860</v>
      </c>
      <c r="H40" s="2">
        <f>VALUE(MID(A40, FIND("Holes_",A40)+6, FIND(".",A40,FIND("Holes_",A40))-FIND("Holes_",A40)-6))</f>
        <v>1</v>
      </c>
    </row>
    <row r="41" spans="1:8" x14ac:dyDescent="0.25">
      <c r="A41" t="s">
        <v>53</v>
      </c>
      <c r="B41" s="2">
        <v>2624</v>
      </c>
      <c r="C41" s="2">
        <v>3.7109999999999999</v>
      </c>
      <c r="D41" s="2">
        <v>0.86399999999999999</v>
      </c>
      <c r="E41" s="2">
        <v>6.4109999999999996</v>
      </c>
      <c r="F41" s="2">
        <v>10.987</v>
      </c>
      <c r="G41" s="2">
        <v>6840</v>
      </c>
      <c r="H41" s="2">
        <f>VALUE(MID(A41, FIND("Holes_",A41)+6, FIND(".",A41,FIND("Holes_",A41))-FIND("Holes_",A41)-6))</f>
        <v>5</v>
      </c>
    </row>
    <row r="42" spans="1:8" x14ac:dyDescent="0.25">
      <c r="A42" t="s">
        <v>57</v>
      </c>
      <c r="B42" s="2">
        <v>2853</v>
      </c>
      <c r="C42" s="2">
        <v>3.875</v>
      </c>
      <c r="D42" s="2">
        <v>0.86299999999999999</v>
      </c>
      <c r="E42" s="2">
        <v>6.3470000000000004</v>
      </c>
      <c r="F42" s="2">
        <v>11.085000000000001</v>
      </c>
      <c r="G42" s="2">
        <v>7060</v>
      </c>
      <c r="H42" s="2">
        <f>VALUE(MID(A42, FIND("Holes_",A42)+6, FIND(".",A42,FIND("Holes_",A42))-FIND("Holes_",A42)-6))</f>
        <v>0</v>
      </c>
    </row>
    <row r="43" spans="1:8" x14ac:dyDescent="0.25">
      <c r="A43" t="s">
        <v>61</v>
      </c>
      <c r="B43" s="2">
        <v>3103</v>
      </c>
      <c r="C43" s="2">
        <v>4.2430000000000003</v>
      </c>
      <c r="D43" s="2">
        <v>1.0780000000000001</v>
      </c>
      <c r="E43" s="2">
        <v>8.5129999999999999</v>
      </c>
      <c r="F43" s="2">
        <v>13.834</v>
      </c>
      <c r="G43" s="2">
        <v>7064</v>
      </c>
      <c r="H43" s="2">
        <f>VALUE(MID(A43, FIND("Holes_",A43)+6, FIND(".",A43,FIND("Holes_",A43))-FIND("Holes_",A43)-6))</f>
        <v>4</v>
      </c>
    </row>
    <row r="44" spans="1:8" x14ac:dyDescent="0.25">
      <c r="A44" t="s">
        <v>65</v>
      </c>
      <c r="B44" s="2">
        <v>3374</v>
      </c>
      <c r="C44" s="2">
        <v>5.0529999999999999</v>
      </c>
      <c r="D44" s="2">
        <v>1.3720000000000001</v>
      </c>
      <c r="E44" s="2">
        <v>12.087</v>
      </c>
      <c r="F44" s="2">
        <v>18.510999999999999</v>
      </c>
      <c r="G44" s="2">
        <v>7208</v>
      </c>
      <c r="H44" s="2">
        <f>VALUE(MID(A44, FIND("Holes_",A44)+6, FIND(".",A44,FIND("Holes_",A44))-FIND("Holes_",A44)-6))</f>
        <v>0</v>
      </c>
    </row>
    <row r="45" spans="1:8" x14ac:dyDescent="0.25">
      <c r="A45" t="s">
        <v>69</v>
      </c>
      <c r="B45" s="2">
        <v>3669</v>
      </c>
      <c r="C45" s="2">
        <v>5.0640000000000001</v>
      </c>
      <c r="D45" s="2">
        <v>1.25</v>
      </c>
      <c r="E45" s="2">
        <v>8.8339999999999996</v>
      </c>
      <c r="F45" s="2">
        <v>15.148</v>
      </c>
      <c r="G45" s="2">
        <v>7144</v>
      </c>
      <c r="H45" s="2">
        <f>VALUE(MID(A45, FIND("Holes_",A45)+6, FIND(".",A45,FIND("Holes_",A45))-FIND("Holes_",A45)-6))</f>
        <v>6</v>
      </c>
    </row>
    <row r="46" spans="1:8" x14ac:dyDescent="0.25">
      <c r="A46" t="s">
        <v>73</v>
      </c>
      <c r="B46" s="2">
        <v>3989</v>
      </c>
      <c r="C46" s="2">
        <v>5.0190000000000001</v>
      </c>
      <c r="D46" s="2">
        <v>1.3460000000000001</v>
      </c>
      <c r="E46" s="2">
        <v>11.215</v>
      </c>
      <c r="F46" s="2">
        <v>17.579999999999998</v>
      </c>
      <c r="G46" s="2">
        <v>7288</v>
      </c>
      <c r="H46" s="2">
        <f>VALUE(MID(A46, FIND("Holes_",A46)+6, FIND(".",A46,FIND("Holes_",A46))-FIND("Holes_",A46)-6))</f>
        <v>6</v>
      </c>
    </row>
    <row r="47" spans="1:8" x14ac:dyDescent="0.25">
      <c r="A47" t="s">
        <v>77</v>
      </c>
      <c r="B47" s="2">
        <v>4338</v>
      </c>
      <c r="C47" s="2">
        <v>5.4189999999999996</v>
      </c>
      <c r="D47" s="2">
        <v>1.5049999999999999</v>
      </c>
      <c r="E47" s="2">
        <v>13.289</v>
      </c>
      <c r="F47" s="2">
        <v>20.213999999999999</v>
      </c>
      <c r="G47" s="2">
        <v>7536</v>
      </c>
      <c r="H47" s="2">
        <f>VALUE(MID(A47, FIND("Holes_",A47)+6, FIND(".",A47,FIND("Holes_",A47))-FIND("Holes_",A47)-6))</f>
        <v>2</v>
      </c>
    </row>
    <row r="48" spans="1:8" x14ac:dyDescent="0.25">
      <c r="A48" t="s">
        <v>80</v>
      </c>
      <c r="B48" s="2">
        <v>4717</v>
      </c>
      <c r="C48" s="2">
        <v>5.9870000000000001</v>
      </c>
      <c r="D48" s="2">
        <v>1.498</v>
      </c>
      <c r="E48" s="2">
        <v>13.617000000000001</v>
      </c>
      <c r="F48" s="2">
        <v>21.102</v>
      </c>
      <c r="G48" s="2">
        <v>7556</v>
      </c>
      <c r="H48" s="2">
        <f>VALUE(MID(A48, FIND("Holes_",A48)+6, FIND(".",A48,FIND("Holes_",A48))-FIND("Holes_",A48)-6))</f>
        <v>6</v>
      </c>
    </row>
    <row r="49" spans="1:8" x14ac:dyDescent="0.25">
      <c r="A49" t="s">
        <v>83</v>
      </c>
      <c r="B49" s="2">
        <v>5129</v>
      </c>
      <c r="C49" s="2">
        <v>5.8410000000000002</v>
      </c>
      <c r="D49" s="2">
        <v>1.633</v>
      </c>
      <c r="E49" s="2">
        <v>12.786</v>
      </c>
      <c r="F49" s="2">
        <v>20.260000000000002</v>
      </c>
      <c r="G49" s="2">
        <v>7660</v>
      </c>
      <c r="H49" s="2">
        <f>VALUE(MID(A49, FIND("Holes_",A49)+6, FIND(".",A49,FIND("Holes_",A49))-FIND("Holes_",A49)-6))</f>
        <v>6</v>
      </c>
    </row>
    <row r="50" spans="1:8" x14ac:dyDescent="0.25">
      <c r="A50" t="s">
        <v>86</v>
      </c>
      <c r="B50" s="2">
        <v>5578</v>
      </c>
      <c r="C50" s="2">
        <v>6.4029999999999996</v>
      </c>
      <c r="D50" s="2">
        <v>1.96</v>
      </c>
      <c r="E50" s="2">
        <v>17.814</v>
      </c>
      <c r="F50" s="2">
        <v>26.178000000000001</v>
      </c>
      <c r="G50" s="2">
        <v>7884</v>
      </c>
      <c r="H50" s="2">
        <f>VALUE(MID(A50, FIND("Holes_",A50)+6, FIND(".",A50,FIND("Holes_",A50))-FIND("Holes_",A50)-6))</f>
        <v>5</v>
      </c>
    </row>
    <row r="51" spans="1:8" x14ac:dyDescent="0.25">
      <c r="A51" t="s">
        <v>89</v>
      </c>
      <c r="B51" s="2">
        <v>6065</v>
      </c>
      <c r="C51" s="2">
        <v>7.0069999999999997</v>
      </c>
      <c r="D51" s="2">
        <v>1.95</v>
      </c>
      <c r="E51" s="2">
        <v>14.243</v>
      </c>
      <c r="F51" s="2">
        <v>23.2</v>
      </c>
      <c r="G51" s="2">
        <v>7992</v>
      </c>
      <c r="H51" s="2">
        <f>VALUE(MID(A51, FIND("Holes_",A51)+6, FIND(".",A51,FIND("Holes_",A51))-FIND("Holes_",A51)-6))</f>
        <v>0</v>
      </c>
    </row>
    <row r="52" spans="1:8" x14ac:dyDescent="0.25">
      <c r="A52" t="s">
        <v>92</v>
      </c>
      <c r="B52" s="2">
        <v>6595</v>
      </c>
      <c r="C52" s="2">
        <v>7.609</v>
      </c>
      <c r="D52" s="2">
        <v>2.1749999999999998</v>
      </c>
      <c r="E52" s="2">
        <v>16.253</v>
      </c>
      <c r="F52" s="2">
        <v>26.036999999999999</v>
      </c>
      <c r="G52" s="2">
        <v>8116</v>
      </c>
      <c r="H52" s="2">
        <f>VALUE(MID(A52, FIND("Holes_",A52)+6, FIND(".",A52,FIND("Holes_",A52))-FIND("Holes_",A52)-6))</f>
        <v>0</v>
      </c>
    </row>
    <row r="53" spans="1:8" x14ac:dyDescent="0.25">
      <c r="A53" t="s">
        <v>95</v>
      </c>
      <c r="B53" s="2">
        <v>7171</v>
      </c>
      <c r="C53" s="2">
        <v>8.4930000000000003</v>
      </c>
      <c r="D53" s="2">
        <v>2.448</v>
      </c>
      <c r="E53" s="2">
        <v>19.706</v>
      </c>
      <c r="F53" s="2">
        <v>30.648</v>
      </c>
      <c r="G53" s="2">
        <v>8224</v>
      </c>
      <c r="H53" s="2">
        <f>VALUE(MID(A53, FIND("Holes_",A53)+6, FIND(".",A53,FIND("Holes_",A53))-FIND("Holes_",A53)-6))</f>
        <v>6</v>
      </c>
    </row>
    <row r="54" spans="1:8" x14ac:dyDescent="0.25">
      <c r="A54" t="s">
        <v>98</v>
      </c>
      <c r="B54" s="2">
        <v>7798</v>
      </c>
      <c r="C54" s="2">
        <v>8.8529999999999998</v>
      </c>
      <c r="D54" s="2">
        <v>2.4929999999999999</v>
      </c>
      <c r="E54" s="2">
        <v>24.382999999999999</v>
      </c>
      <c r="F54" s="2">
        <v>35.728999999999999</v>
      </c>
      <c r="G54" s="2">
        <v>8316</v>
      </c>
      <c r="H54" s="2">
        <f>VALUE(MID(A54, FIND("Holes_",A54)+6, FIND(".",A54,FIND("Holes_",A54))-FIND("Holes_",A54)-6))</f>
        <v>3</v>
      </c>
    </row>
    <row r="55" spans="1:8" x14ac:dyDescent="0.25">
      <c r="A55" t="s">
        <v>101</v>
      </c>
      <c r="B55" s="2">
        <v>8480</v>
      </c>
      <c r="C55" s="2">
        <v>9.52</v>
      </c>
      <c r="D55" s="2">
        <v>2.68</v>
      </c>
      <c r="E55" s="2">
        <v>22.437999999999999</v>
      </c>
      <c r="F55" s="2">
        <v>34.637999999999998</v>
      </c>
      <c r="G55" s="2">
        <v>8772</v>
      </c>
      <c r="H55" s="2">
        <f>VALUE(MID(A55, FIND("Holes_",A55)+6, FIND(".",A55,FIND("Holes_",A55))-FIND("Holes_",A55)-6))</f>
        <v>5</v>
      </c>
    </row>
    <row r="56" spans="1:8" x14ac:dyDescent="0.25">
      <c r="A56" t="s">
        <v>104</v>
      </c>
      <c r="B56" s="2">
        <v>9221</v>
      </c>
      <c r="C56" s="2">
        <v>10.547000000000001</v>
      </c>
      <c r="D56" s="2">
        <v>3.5880000000000001</v>
      </c>
      <c r="E56" s="2">
        <v>39.872</v>
      </c>
      <c r="F56" s="2">
        <v>54.008000000000003</v>
      </c>
      <c r="G56" s="2">
        <v>9216</v>
      </c>
      <c r="H56" s="2">
        <f>VALUE(MID(A56, FIND("Holes_",A56)+6, FIND(".",A56,FIND("Holes_",A56))-FIND("Holes_",A56)-6))</f>
        <v>1</v>
      </c>
    </row>
    <row r="57" spans="1:8" x14ac:dyDescent="0.25">
      <c r="A57" t="s">
        <v>7</v>
      </c>
      <c r="B57" s="2">
        <v>10026</v>
      </c>
      <c r="C57" s="2">
        <v>12.583</v>
      </c>
      <c r="D57" s="2">
        <v>3.2570000000000001</v>
      </c>
      <c r="E57" s="2">
        <v>26.524999999999999</v>
      </c>
      <c r="F57" s="2">
        <v>42.365000000000002</v>
      </c>
      <c r="G57" s="2">
        <v>8924</v>
      </c>
      <c r="H57" s="2">
        <f>VALUE(MID(A57, FIND("Holes_",A57)+6, FIND(".",A57,FIND("Holes_",A57))-FIND("Holes_",A57)-6))</f>
        <v>3</v>
      </c>
    </row>
    <row r="58" spans="1:8" x14ac:dyDescent="0.25">
      <c r="A58" t="s">
        <v>11</v>
      </c>
      <c r="B58" s="2">
        <v>10903</v>
      </c>
      <c r="C58" s="2">
        <v>11.772</v>
      </c>
      <c r="D58" s="2">
        <v>3.87</v>
      </c>
      <c r="E58" s="2">
        <v>32.682000000000002</v>
      </c>
      <c r="F58" s="2">
        <v>48.323999999999998</v>
      </c>
      <c r="G58" s="2">
        <v>9300</v>
      </c>
      <c r="H58" s="2">
        <f>VALUE(MID(A58, FIND("Holes_",A58)+6, FIND(".",A58,FIND("Holes_",A58))-FIND("Holes_",A58)-6))</f>
        <v>1</v>
      </c>
    </row>
    <row r="59" spans="1:8" x14ac:dyDescent="0.25">
      <c r="A59" t="s">
        <v>15</v>
      </c>
      <c r="B59" s="2">
        <v>11855</v>
      </c>
      <c r="C59" s="2">
        <v>12.44</v>
      </c>
      <c r="D59" s="2">
        <v>3.9289999999999998</v>
      </c>
      <c r="E59" s="2">
        <v>34.481999999999999</v>
      </c>
      <c r="F59" s="2">
        <v>50.85</v>
      </c>
      <c r="G59" s="2">
        <v>9632</v>
      </c>
      <c r="H59" s="2">
        <f>VALUE(MID(A59, FIND("Holes_",A59)+6, FIND(".",A59,FIND("Holes_",A59))-FIND("Holes_",A59)-6))</f>
        <v>6</v>
      </c>
    </row>
    <row r="60" spans="1:8" x14ac:dyDescent="0.25">
      <c r="A60" t="s">
        <v>19</v>
      </c>
      <c r="B60" s="2">
        <v>12891</v>
      </c>
      <c r="C60" s="2">
        <v>13.778</v>
      </c>
      <c r="D60" s="2">
        <v>4.8769999999999998</v>
      </c>
      <c r="E60" s="2">
        <v>48.985999999999997</v>
      </c>
      <c r="F60" s="2">
        <v>67.641000000000005</v>
      </c>
      <c r="G60" s="2">
        <v>10364</v>
      </c>
      <c r="H60" s="2">
        <f>VALUE(MID(A60, FIND("Holes_",A60)+6, FIND(".",A60,FIND("Holes_",A60))-FIND("Holes_",A60)-6))</f>
        <v>4</v>
      </c>
    </row>
    <row r="61" spans="1:8" x14ac:dyDescent="0.25">
      <c r="A61" t="s">
        <v>23</v>
      </c>
      <c r="B61" s="2">
        <v>14018</v>
      </c>
      <c r="C61" s="2">
        <v>13.976000000000001</v>
      </c>
      <c r="D61" s="2">
        <v>4.6029999999999998</v>
      </c>
      <c r="E61" s="2">
        <v>39.018000000000001</v>
      </c>
      <c r="F61" s="2">
        <v>57.597000000000001</v>
      </c>
      <c r="G61" s="2">
        <v>10260</v>
      </c>
      <c r="H61" s="2">
        <f>VALUE(MID(A61, FIND("Holes_",A61)+6, FIND(".",A61,FIND("Holes_",A61))-FIND("Holes_",A61)-6))</f>
        <v>3</v>
      </c>
    </row>
    <row r="62" spans="1:8" x14ac:dyDescent="0.25">
      <c r="A62" t="s">
        <v>27</v>
      </c>
      <c r="B62" s="2">
        <v>15243</v>
      </c>
      <c r="C62" s="2">
        <v>15.613</v>
      </c>
      <c r="D62" s="2">
        <v>5.5839999999999996</v>
      </c>
      <c r="E62" s="2">
        <v>72.242999999999995</v>
      </c>
      <c r="F62" s="2">
        <v>93.44</v>
      </c>
      <c r="G62" s="2">
        <v>11176</v>
      </c>
      <c r="H62" s="2">
        <f>VALUE(MID(A62, FIND("Holes_",A62)+6, FIND(".",A62,FIND("Holes_",A62))-FIND("Holes_",A62)-6))</f>
        <v>2</v>
      </c>
    </row>
    <row r="63" spans="1:8" x14ac:dyDescent="0.25">
      <c r="A63" t="s">
        <v>31</v>
      </c>
      <c r="B63" s="2">
        <v>16575</v>
      </c>
      <c r="C63" s="2">
        <v>16.175999999999998</v>
      </c>
      <c r="D63" s="2">
        <v>5.6820000000000004</v>
      </c>
      <c r="E63" s="2">
        <v>45.189</v>
      </c>
      <c r="F63" s="2">
        <v>67.046999999999997</v>
      </c>
      <c r="G63" s="2">
        <v>11272</v>
      </c>
      <c r="H63" s="2">
        <f>VALUE(MID(A63, FIND("Holes_",A63)+6, FIND(".",A63,FIND("Holes_",A63))-FIND("Holes_",A63)-6))</f>
        <v>2</v>
      </c>
    </row>
    <row r="64" spans="1:8" x14ac:dyDescent="0.25">
      <c r="A64" t="s">
        <v>35</v>
      </c>
      <c r="B64" s="2">
        <v>18023</v>
      </c>
      <c r="C64" s="2">
        <v>18.353000000000002</v>
      </c>
      <c r="D64" s="2">
        <v>6.343</v>
      </c>
      <c r="E64" s="2">
        <v>71.337999999999994</v>
      </c>
      <c r="F64" s="2">
        <v>96.034999999999997</v>
      </c>
      <c r="G64" s="2">
        <v>11580</v>
      </c>
      <c r="H64" s="2">
        <f>VALUE(MID(A64, FIND("Holes_",A64)+6, FIND(".",A64,FIND("Holes_",A64))-FIND("Holes_",A64)-6))</f>
        <v>3</v>
      </c>
    </row>
    <row r="65" spans="1:8" x14ac:dyDescent="0.25">
      <c r="A65" t="s">
        <v>39</v>
      </c>
      <c r="B65" s="2">
        <v>19598</v>
      </c>
      <c r="C65" s="2">
        <v>20.100999999999999</v>
      </c>
      <c r="D65" s="2">
        <v>7.7869999999999999</v>
      </c>
      <c r="E65" s="2">
        <v>160.065</v>
      </c>
      <c r="F65" s="2">
        <v>187.952</v>
      </c>
      <c r="G65" s="2">
        <v>14676</v>
      </c>
      <c r="H65" s="2">
        <f>VALUE(MID(A65, FIND("Holes_",A65)+6, FIND(".",A65,FIND("Holes_",A65))-FIND("Holes_",A65)-6))</f>
        <v>0</v>
      </c>
    </row>
    <row r="66" spans="1:8" x14ac:dyDescent="0.25">
      <c r="A66" t="s">
        <v>43</v>
      </c>
      <c r="B66" s="2">
        <v>21311</v>
      </c>
      <c r="C66" s="2">
        <v>21.622</v>
      </c>
      <c r="D66" s="2">
        <v>7.2640000000000002</v>
      </c>
      <c r="E66" s="2">
        <v>57.677</v>
      </c>
      <c r="F66" s="2">
        <v>86.563000000000002</v>
      </c>
      <c r="G66" s="2">
        <v>12184</v>
      </c>
      <c r="H66" s="2">
        <f>VALUE(MID(A66, FIND("Holes_",A66)+6, FIND(".",A66,FIND("Holes_",A66))-FIND("Holes_",A66)-6))</f>
        <v>0</v>
      </c>
    </row>
    <row r="67" spans="1:8" x14ac:dyDescent="0.25">
      <c r="A67" t="s">
        <v>47</v>
      </c>
      <c r="B67" s="2">
        <v>23173</v>
      </c>
      <c r="C67" s="2">
        <v>23.335000000000001</v>
      </c>
      <c r="D67" s="2">
        <v>8.5229999999999997</v>
      </c>
      <c r="E67" s="2">
        <v>64.626000000000005</v>
      </c>
      <c r="F67" s="2">
        <v>96.483999999999995</v>
      </c>
      <c r="G67" s="2">
        <v>12572</v>
      </c>
      <c r="H67" s="2">
        <f>VALUE(MID(A67, FIND("Holes_",A67)+6, FIND(".",A67,FIND("Holes_",A67))-FIND("Holes_",A67)-6))</f>
        <v>2</v>
      </c>
    </row>
    <row r="68" spans="1:8" x14ac:dyDescent="0.25">
      <c r="A68" t="s">
        <v>51</v>
      </c>
      <c r="B68" s="2">
        <v>25198</v>
      </c>
      <c r="C68" s="2">
        <v>24.190999999999999</v>
      </c>
      <c r="D68" s="2">
        <v>9.8409999999999993</v>
      </c>
      <c r="E68" s="2">
        <v>147.38800000000001</v>
      </c>
      <c r="F68" s="2">
        <v>181.42</v>
      </c>
      <c r="G68" s="2">
        <v>15484</v>
      </c>
      <c r="H68" s="2">
        <f>VALUE(MID(A68, FIND("Holes_",A68)+6, FIND(".",A68,FIND("Holes_",A68))-FIND("Holes_",A68)-6))</f>
        <v>2</v>
      </c>
    </row>
    <row r="69" spans="1:8" x14ac:dyDescent="0.25">
      <c r="A69" t="s">
        <v>56</v>
      </c>
      <c r="B69" s="2">
        <v>27400</v>
      </c>
      <c r="C69" s="2">
        <v>26.472000000000001</v>
      </c>
      <c r="D69" s="2">
        <v>8.7560000000000002</v>
      </c>
      <c r="E69" s="2">
        <v>75.048000000000002</v>
      </c>
      <c r="F69" s="2">
        <v>110.276</v>
      </c>
      <c r="G69" s="2">
        <v>13312</v>
      </c>
      <c r="H69" s="2">
        <f>VALUE(MID(A69, FIND("Holes_",A69)+6, FIND(".",A69,FIND("Holes_",A69))-FIND("Holes_",A69)-6))</f>
        <v>5</v>
      </c>
    </row>
    <row r="70" spans="1:8" x14ac:dyDescent="0.25">
      <c r="A70" t="s">
        <v>59</v>
      </c>
      <c r="B70" s="2">
        <v>29795</v>
      </c>
      <c r="C70" s="2">
        <v>28.725999999999999</v>
      </c>
      <c r="D70" s="2">
        <v>9.516</v>
      </c>
      <c r="E70" s="2">
        <v>131.66200000000001</v>
      </c>
      <c r="F70" s="2">
        <v>169.90299999999999</v>
      </c>
      <c r="G70" s="2">
        <v>15168</v>
      </c>
      <c r="H70" s="2">
        <f>VALUE(MID(A70, FIND("Holes_",A70)+6, FIND(".",A70,FIND("Holes_",A70))-FIND("Holes_",A70)-6))</f>
        <v>3</v>
      </c>
    </row>
    <row r="71" spans="1:8" x14ac:dyDescent="0.25">
      <c r="A71" t="s">
        <v>63</v>
      </c>
      <c r="B71" s="2">
        <v>32399</v>
      </c>
      <c r="C71" s="2">
        <v>31.433</v>
      </c>
      <c r="D71" s="2">
        <v>12.943</v>
      </c>
      <c r="E71" s="2">
        <v>132.72</v>
      </c>
      <c r="F71" s="2">
        <v>177.096</v>
      </c>
      <c r="G71" s="2">
        <v>16952</v>
      </c>
      <c r="H71" s="2">
        <f>VALUE(MID(A71, FIND("Holes_",A71)+6, FIND(".",A71,FIND("Holes_",A71))-FIND("Holes_",A71)-6))</f>
        <v>4</v>
      </c>
    </row>
    <row r="72" spans="1:8" x14ac:dyDescent="0.25">
      <c r="A72" t="s">
        <v>68</v>
      </c>
      <c r="B72" s="2">
        <v>35230</v>
      </c>
      <c r="C72" s="2">
        <v>34.802999999999997</v>
      </c>
      <c r="D72" s="2">
        <v>12.202999999999999</v>
      </c>
      <c r="E72" s="2">
        <v>149.339</v>
      </c>
      <c r="F72" s="2">
        <v>196.345</v>
      </c>
      <c r="G72" s="2">
        <v>17052</v>
      </c>
      <c r="H72" s="2">
        <f>VALUE(MID(A72, FIND("Holes_",A72)+6, FIND(".",A72,FIND("Holes_",A72))-FIND("Holes_",A72)-6))</f>
        <v>2</v>
      </c>
    </row>
    <row r="73" spans="1:8" x14ac:dyDescent="0.25">
      <c r="A73" t="s">
        <v>72</v>
      </c>
      <c r="B73" s="2">
        <v>38309</v>
      </c>
      <c r="C73" s="2">
        <v>36.43</v>
      </c>
      <c r="D73" s="2">
        <v>13.914999999999999</v>
      </c>
      <c r="E73" s="2">
        <v>113.503</v>
      </c>
      <c r="F73" s="2">
        <v>163.84800000000001</v>
      </c>
      <c r="G73" s="2">
        <v>17360</v>
      </c>
      <c r="H73" s="2">
        <f>VALUE(MID(A73, FIND("Holes_",A73)+6, FIND(".",A73,FIND("Holes_",A73))-FIND("Holes_",A73)-6))</f>
        <v>5</v>
      </c>
    </row>
    <row r="74" spans="1:8" x14ac:dyDescent="0.25">
      <c r="A74" t="s">
        <v>76</v>
      </c>
      <c r="B74" s="2">
        <v>41656</v>
      </c>
      <c r="C74" s="2">
        <v>42.142000000000003</v>
      </c>
      <c r="D74" s="2">
        <v>17.050999999999998</v>
      </c>
      <c r="E74" s="2">
        <v>595.74599999999998</v>
      </c>
      <c r="F74" s="2">
        <v>654.93799999999999</v>
      </c>
      <c r="G74" s="2">
        <v>27448</v>
      </c>
      <c r="H74" s="2">
        <f>VALUE(MID(A74, FIND("Holes_",A74)+6, FIND(".",A74,FIND("Holes_",A74))-FIND("Holes_",A74)-6))</f>
        <v>0</v>
      </c>
    </row>
    <row r="75" spans="1:8" x14ac:dyDescent="0.25">
      <c r="A75" t="s">
        <v>78</v>
      </c>
      <c r="B75" s="2">
        <v>45296</v>
      </c>
      <c r="C75" s="2">
        <v>44.005000000000003</v>
      </c>
      <c r="D75" s="2">
        <v>15.382999999999999</v>
      </c>
      <c r="E75" s="2">
        <v>137.685</v>
      </c>
      <c r="F75" s="2">
        <v>197.07300000000001</v>
      </c>
      <c r="G75" s="2">
        <v>18928</v>
      </c>
      <c r="H75" s="2">
        <f>VALUE(MID(A75, FIND("Holes_",A75)+6, FIND(".",A75,FIND("Holes_",A75))-FIND("Holes_",A75)-6))</f>
        <v>3</v>
      </c>
    </row>
    <row r="76" spans="1:8" x14ac:dyDescent="0.25">
      <c r="A76" t="s">
        <v>82</v>
      </c>
      <c r="B76" s="2">
        <v>49255</v>
      </c>
      <c r="C76" s="2">
        <v>48.569000000000003</v>
      </c>
      <c r="D76" s="2">
        <v>17.876000000000001</v>
      </c>
      <c r="E76" s="2">
        <v>149.88499999999999</v>
      </c>
      <c r="F76" s="2">
        <v>216.33</v>
      </c>
      <c r="G76" s="2">
        <v>19716</v>
      </c>
      <c r="H76" s="2">
        <f>VALUE(MID(A76, FIND("Holes_",A76)+6, FIND(".",A76,FIND("Holes_",A76))-FIND("Holes_",A76)-6))</f>
        <v>0</v>
      </c>
    </row>
    <row r="77" spans="1:8" x14ac:dyDescent="0.25">
      <c r="A77" t="s">
        <v>85</v>
      </c>
      <c r="B77" s="2">
        <v>53559</v>
      </c>
      <c r="C77" s="2">
        <v>53.006999999999998</v>
      </c>
      <c r="D77" s="2">
        <v>22.135999999999999</v>
      </c>
      <c r="E77" s="2">
        <v>414.86599999999999</v>
      </c>
      <c r="F77" s="2">
        <v>490.00900000000001</v>
      </c>
      <c r="G77" s="2">
        <v>26552</v>
      </c>
      <c r="H77" s="2">
        <f>VALUE(MID(A77, FIND("Holes_",A77)+6, FIND(".",A77,FIND("Holes_",A77))-FIND("Holes_",A77)-6))</f>
        <v>2</v>
      </c>
    </row>
    <row r="78" spans="1:8" x14ac:dyDescent="0.25">
      <c r="A78" t="s">
        <v>88</v>
      </c>
      <c r="B78" s="2">
        <v>58240</v>
      </c>
      <c r="C78" s="2">
        <v>56.206000000000003</v>
      </c>
      <c r="D78" s="2">
        <v>20.54</v>
      </c>
      <c r="E78" s="2">
        <v>305.18400000000003</v>
      </c>
      <c r="F78" s="2">
        <v>381.93</v>
      </c>
      <c r="G78" s="2">
        <v>23000</v>
      </c>
      <c r="H78" s="2">
        <f>VALUE(MID(A78, FIND("Holes_",A78)+6, FIND(".",A78,FIND("Holes_",A78))-FIND("Holes_",A78)-6))</f>
        <v>2</v>
      </c>
    </row>
    <row r="79" spans="1:8" x14ac:dyDescent="0.25">
      <c r="A79" t="s">
        <v>91</v>
      </c>
      <c r="B79" s="2">
        <v>63329</v>
      </c>
      <c r="C79" s="2">
        <v>60.055999999999997</v>
      </c>
      <c r="D79" s="2">
        <v>21.704999999999998</v>
      </c>
      <c r="E79" s="2">
        <v>216.46299999999999</v>
      </c>
      <c r="F79" s="2">
        <v>298.22399999999999</v>
      </c>
      <c r="G79" s="2">
        <v>24040</v>
      </c>
      <c r="H79" s="2">
        <f>VALUE(MID(A79, FIND("Holes_",A79)+6, FIND(".",A79,FIND("Holes_",A79))-FIND("Holes_",A79)-6))</f>
        <v>3</v>
      </c>
    </row>
    <row r="80" spans="1:8" x14ac:dyDescent="0.25">
      <c r="A80" t="s">
        <v>94</v>
      </c>
      <c r="B80" s="2">
        <v>68863</v>
      </c>
      <c r="C80" s="2">
        <v>66.507000000000005</v>
      </c>
      <c r="D80" s="2">
        <v>28.04</v>
      </c>
      <c r="E80" s="2">
        <v>1006.418</v>
      </c>
      <c r="F80" s="2">
        <v>1100.9649999999999</v>
      </c>
      <c r="G80" s="2">
        <v>40168</v>
      </c>
      <c r="H80" s="2">
        <f>VALUE(MID(A80, FIND("Holes_",A80)+6, FIND(".",A80,FIND("Holes_",A80))-FIND("Holes_",A80)-6))</f>
        <v>1</v>
      </c>
    </row>
    <row r="81" spans="1:8" x14ac:dyDescent="0.25">
      <c r="A81" t="s">
        <v>97</v>
      </c>
      <c r="B81" s="2">
        <v>74881</v>
      </c>
      <c r="C81" s="2">
        <v>70.706000000000003</v>
      </c>
      <c r="D81" s="2">
        <v>25.658000000000001</v>
      </c>
      <c r="E81" s="2">
        <v>253.21299999999999</v>
      </c>
      <c r="F81" s="2">
        <v>349.57600000000002</v>
      </c>
      <c r="G81" s="2">
        <v>28136</v>
      </c>
      <c r="H81" s="2">
        <f>VALUE(MID(A81, FIND("Holes_",A81)+6, FIND(".",A81,FIND("Holes_",A81))-FIND("Holes_",A81)-6))</f>
        <v>6</v>
      </c>
    </row>
    <row r="82" spans="1:8" x14ac:dyDescent="0.25">
      <c r="A82" t="s">
        <v>100</v>
      </c>
      <c r="B82" s="2">
        <v>81425</v>
      </c>
      <c r="C82" s="2">
        <v>77.090999999999994</v>
      </c>
      <c r="D82" s="2">
        <v>28.382000000000001</v>
      </c>
      <c r="E82" s="2">
        <v>513.41600000000005</v>
      </c>
      <c r="F82" s="2">
        <v>618.88800000000003</v>
      </c>
      <c r="G82" s="2">
        <v>30008</v>
      </c>
      <c r="H82" s="2">
        <f>VALUE(MID(A82, FIND("Holes_",A82)+6, FIND(".",A82,FIND("Holes_",A82))-FIND("Holes_",A82)-6))</f>
        <v>2</v>
      </c>
    </row>
    <row r="83" spans="1:8" x14ac:dyDescent="0.25">
      <c r="A83" t="s">
        <v>103</v>
      </c>
      <c r="B83" s="2">
        <v>88540</v>
      </c>
      <c r="C83" s="2">
        <v>84.043999999999997</v>
      </c>
      <c r="D83" s="2">
        <v>36.44</v>
      </c>
      <c r="E83" s="2">
        <v>951.46600000000001</v>
      </c>
      <c r="F83" s="2">
        <v>1071.95</v>
      </c>
      <c r="G83" s="2">
        <v>42480</v>
      </c>
      <c r="H83" s="2">
        <f>VALUE(MID(A83, FIND("Holes_",A83)+6, FIND(".",A83,FIND("Holes_",A83))-FIND("Holes_",A83)-6))</f>
        <v>2</v>
      </c>
    </row>
    <row r="84" spans="1:8" x14ac:dyDescent="0.25">
      <c r="A84" t="s">
        <v>106</v>
      </c>
      <c r="B84" s="2">
        <v>96277</v>
      </c>
      <c r="C84" s="2">
        <v>92.905000000000001</v>
      </c>
      <c r="D84" s="2">
        <v>30.434000000000001</v>
      </c>
      <c r="E84" s="2">
        <v>703.16499999999996</v>
      </c>
      <c r="F84" s="2">
        <v>826.50400000000002</v>
      </c>
      <c r="G84" s="2">
        <v>31560</v>
      </c>
      <c r="H84" s="2">
        <f>VALUE(MID(A84, FIND("Holes_",A84)+6, FIND(".",A84,FIND("Holes_",A84))-FIND("Holes_",A84)-6))</f>
        <v>4</v>
      </c>
    </row>
    <row r="85" spans="1:8" x14ac:dyDescent="0.25">
      <c r="A85" t="s">
        <v>10</v>
      </c>
      <c r="B85" s="2">
        <v>104691</v>
      </c>
      <c r="C85" s="2">
        <v>100.791</v>
      </c>
      <c r="D85" s="2">
        <v>38.048000000000002</v>
      </c>
      <c r="E85" s="2">
        <v>401.05200000000002</v>
      </c>
      <c r="F85" s="2">
        <v>539.89200000000005</v>
      </c>
      <c r="G85" s="2">
        <v>34160</v>
      </c>
      <c r="H85" s="2">
        <f>VALUE(MID(A85, FIND("Holes_",A85)+6, FIND(".",A85,FIND("Holes_",A85))-FIND("Holes_",A85)-6))</f>
        <v>1</v>
      </c>
    </row>
    <row r="86" spans="1:8" x14ac:dyDescent="0.25">
      <c r="A86" t="s">
        <v>14</v>
      </c>
      <c r="B86" s="2">
        <v>113840</v>
      </c>
      <c r="C86" s="2">
        <v>110.28</v>
      </c>
      <c r="D86" s="2">
        <v>45.655999999999999</v>
      </c>
      <c r="E86" s="2">
        <v>1538.65</v>
      </c>
      <c r="F86" s="2">
        <v>1694.586</v>
      </c>
      <c r="G86" s="2">
        <v>51484</v>
      </c>
      <c r="H86" s="2">
        <f>VALUE(MID(A86, FIND("Holes_",A86)+6, FIND(".",A86,FIND("Holes_",A86))-FIND("Holes_",A86)-6))</f>
        <v>3</v>
      </c>
    </row>
    <row r="87" spans="1:8" x14ac:dyDescent="0.25">
      <c r="A87" t="s">
        <v>18</v>
      </c>
      <c r="B87" s="2">
        <v>123788</v>
      </c>
      <c r="C87" s="2">
        <v>117.557</v>
      </c>
      <c r="D87" s="2">
        <v>42.38</v>
      </c>
      <c r="E87" s="2">
        <v>480.62299999999999</v>
      </c>
      <c r="F87" s="2">
        <v>640.55999999999995</v>
      </c>
      <c r="G87" s="2">
        <v>39852</v>
      </c>
      <c r="H87" s="2">
        <f>VALUE(MID(A87, FIND("Holes_",A87)+6, FIND(".",A87,FIND("Holes_",A87))-FIND("Holes_",A87)-6))</f>
        <v>4</v>
      </c>
    </row>
    <row r="88" spans="1:8" x14ac:dyDescent="0.25">
      <c r="A88" t="s">
        <v>22</v>
      </c>
      <c r="B88" s="2">
        <v>134605</v>
      </c>
      <c r="C88" s="2">
        <v>128.035</v>
      </c>
      <c r="D88" s="2">
        <v>47.173000000000002</v>
      </c>
      <c r="E88" s="2">
        <v>1197.3009999999999</v>
      </c>
      <c r="F88" s="2">
        <v>1372.509</v>
      </c>
      <c r="G88" s="2">
        <v>46540</v>
      </c>
      <c r="H88" s="2">
        <f>VALUE(MID(A88, FIND("Holes_",A88)+6, FIND(".",A88,FIND("Holes_",A88))-FIND("Holes_",A88)-6))</f>
        <v>5</v>
      </c>
    </row>
    <row r="89" spans="1:8" x14ac:dyDescent="0.25">
      <c r="A89" t="s">
        <v>26</v>
      </c>
      <c r="B89" s="2">
        <v>146368</v>
      </c>
      <c r="C89" s="2">
        <v>137.459</v>
      </c>
      <c r="D89" s="2">
        <v>66.631</v>
      </c>
      <c r="E89" s="2">
        <v>3561</v>
      </c>
      <c r="F89" s="2">
        <v>3765.09</v>
      </c>
      <c r="G89" s="2">
        <v>72400</v>
      </c>
      <c r="H89" s="2">
        <f>VALUE(MID(A89, FIND("Holes_",A89)+6, FIND(".",A89,FIND("Holes_",A89))-FIND("Holes_",A89)-6))</f>
        <v>1</v>
      </c>
    </row>
    <row r="90" spans="1:8" x14ac:dyDescent="0.25">
      <c r="A90" t="s">
        <v>30</v>
      </c>
      <c r="B90" s="2">
        <v>159159</v>
      </c>
      <c r="C90" s="2">
        <v>154.06</v>
      </c>
      <c r="D90" s="2">
        <v>54.723999999999997</v>
      </c>
      <c r="E90" s="2">
        <v>1539.61</v>
      </c>
      <c r="F90" s="2">
        <v>1748.394</v>
      </c>
      <c r="G90" s="2">
        <v>50264</v>
      </c>
      <c r="H90" s="2">
        <f>VALUE(MID(A90, FIND("Holes_",A90)+6, FIND(".",A90,FIND("Holes_",A90))-FIND("Holes_",A90)-6))</f>
        <v>5</v>
      </c>
    </row>
    <row r="91" spans="1:8" x14ac:dyDescent="0.25">
      <c r="A91" t="s">
        <v>34</v>
      </c>
      <c r="B91" s="2">
        <v>173068</v>
      </c>
      <c r="C91" s="2">
        <v>167.40199999999999</v>
      </c>
      <c r="D91" s="2">
        <v>61.587000000000003</v>
      </c>
      <c r="E91" s="2">
        <v>832.48699999999997</v>
      </c>
      <c r="F91" s="2">
        <v>1061.4760000000001</v>
      </c>
      <c r="G91" s="2">
        <v>51632</v>
      </c>
      <c r="H91" s="2">
        <f>VALUE(MID(A91, FIND("Holes_",A91)+6, FIND(".",A91,FIND("Holes_",A91))-FIND("Holes_",A91)-6))</f>
        <v>4</v>
      </c>
    </row>
    <row r="92" spans="1:8" x14ac:dyDescent="0.25">
      <c r="A92" t="s">
        <v>38</v>
      </c>
      <c r="B92" s="2">
        <v>188191</v>
      </c>
      <c r="C92" s="2">
        <v>181.87200000000001</v>
      </c>
      <c r="D92" s="2">
        <v>88.349000000000004</v>
      </c>
      <c r="E92" s="2">
        <v>6762.8670000000002</v>
      </c>
      <c r="F92" s="2">
        <v>7033.0870000000004</v>
      </c>
      <c r="G92" s="2">
        <v>94076</v>
      </c>
      <c r="H92" s="2">
        <f>VALUE(MID(A92, FIND("Holes_",A92)+6, FIND(".",A92,FIND("Holes_",A92))-FIND("Holes_",A92)-6))</f>
        <v>1</v>
      </c>
    </row>
    <row r="93" spans="1:8" x14ac:dyDescent="0.25">
      <c r="A93" t="s">
        <v>42</v>
      </c>
      <c r="B93" s="2">
        <v>204637</v>
      </c>
      <c r="C93" s="2">
        <v>195.21</v>
      </c>
      <c r="D93" s="2">
        <v>70.447999999999993</v>
      </c>
      <c r="E93" s="2">
        <v>1033.9079999999999</v>
      </c>
      <c r="F93" s="2">
        <v>1299.5650000000001</v>
      </c>
      <c r="G93" s="2">
        <v>56980</v>
      </c>
      <c r="H93" s="2">
        <f>VALUE(MID(A93, FIND("Holes_",A93)+6, FIND(".",A93,FIND("Holes_",A93))-FIND("Holes_",A93)-6))</f>
        <v>6</v>
      </c>
    </row>
    <row r="94" spans="1:8" x14ac:dyDescent="0.25">
      <c r="A94" t="s">
        <v>46</v>
      </c>
      <c r="B94" s="2">
        <v>222520</v>
      </c>
      <c r="C94" s="2">
        <v>208.43299999999999</v>
      </c>
      <c r="D94" s="2">
        <v>76.066000000000003</v>
      </c>
      <c r="E94" s="2">
        <v>2885.8580000000002</v>
      </c>
      <c r="F94" s="2">
        <v>3170.357</v>
      </c>
      <c r="G94" s="2">
        <v>71924</v>
      </c>
      <c r="H94" s="2">
        <f>VALUE(MID(A94, FIND("Holes_",A94)+6, FIND(".",A94,FIND("Holes_",A94))-FIND("Holes_",A94)-6))</f>
        <v>4</v>
      </c>
    </row>
    <row r="95" spans="1:8" x14ac:dyDescent="0.25">
      <c r="A95" t="s">
        <v>50</v>
      </c>
      <c r="B95" s="2">
        <v>241965</v>
      </c>
      <c r="C95" s="2">
        <v>229.1</v>
      </c>
      <c r="D95" s="2">
        <v>89.632999999999996</v>
      </c>
      <c r="E95" s="2">
        <v>2845.3</v>
      </c>
      <c r="F95" s="2">
        <v>3164.0329999999999</v>
      </c>
      <c r="G95" s="2">
        <v>91736</v>
      </c>
      <c r="H95" s="2">
        <f>VALUE(MID(A95, FIND("Holes_",A95)+6, FIND(".",A95,FIND("Holes_",A95))-FIND("Holes_",A95)-6))</f>
        <v>5</v>
      </c>
    </row>
    <row r="96" spans="1:8" x14ac:dyDescent="0.25">
      <c r="A96" t="s">
        <v>54</v>
      </c>
      <c r="B96" s="2">
        <v>263110</v>
      </c>
      <c r="C96" s="2">
        <v>244.845</v>
      </c>
      <c r="D96" s="2">
        <v>88.412000000000006</v>
      </c>
      <c r="E96" s="2">
        <v>3933.5940000000001</v>
      </c>
      <c r="F96" s="2">
        <v>4266.8509999999997</v>
      </c>
      <c r="G96" s="2">
        <v>83224</v>
      </c>
      <c r="H96" s="2">
        <f>VALUE(MID(A96, FIND("Holes_",A96)+6, FIND(".",A96,FIND("Holes_",A96))-FIND("Holes_",A96)-6))</f>
        <v>5</v>
      </c>
    </row>
    <row r="97" spans="1:8" x14ac:dyDescent="0.25">
      <c r="A97" t="s">
        <v>58</v>
      </c>
      <c r="B97" s="2">
        <v>286103</v>
      </c>
      <c r="C97" s="2">
        <v>279.24799999999999</v>
      </c>
      <c r="D97" s="2">
        <v>96.078999999999994</v>
      </c>
      <c r="E97" s="2">
        <v>1408.7829999999999</v>
      </c>
      <c r="F97" s="2">
        <v>1784.11</v>
      </c>
      <c r="G97" s="2">
        <v>86644</v>
      </c>
      <c r="H97" s="2">
        <f>VALUE(MID(A97, FIND("Holes_",A97)+6, FIND(".",A97,FIND("Holes_",A97))-FIND("Holes_",A97)-6))</f>
        <v>0</v>
      </c>
    </row>
    <row r="98" spans="1:8" x14ac:dyDescent="0.25">
      <c r="A98" t="s">
        <v>62</v>
      </c>
      <c r="B98" s="2">
        <v>311105</v>
      </c>
      <c r="C98" s="2">
        <v>302.41199999999998</v>
      </c>
      <c r="D98" s="2">
        <v>131.32</v>
      </c>
      <c r="E98" s="2">
        <v>12596.084999999999</v>
      </c>
      <c r="F98" s="2">
        <v>13029.816000000001</v>
      </c>
      <c r="G98" s="2">
        <v>131676</v>
      </c>
      <c r="H98" s="2">
        <f>VALUE(MID(A98, FIND("Holes_",A98)+6, FIND(".",A98,FIND("Holes_",A98))-FIND("Holes_",A98)-6))</f>
        <v>2</v>
      </c>
    </row>
    <row r="99" spans="1:8" x14ac:dyDescent="0.25">
      <c r="A99" t="s">
        <v>66</v>
      </c>
      <c r="B99" s="2">
        <v>338292</v>
      </c>
      <c r="C99" s="2">
        <v>325.03500000000003</v>
      </c>
      <c r="D99" s="2">
        <v>121.301</v>
      </c>
      <c r="E99" s="2">
        <v>2378.9470000000001</v>
      </c>
      <c r="F99" s="2">
        <v>2825.2829999999999</v>
      </c>
      <c r="G99" s="2">
        <v>92700</v>
      </c>
      <c r="H99" s="2">
        <f>VALUE(MID(A99, FIND("Holes_",A99)+6, FIND(".",A99,FIND("Holes_",A99))-FIND("Holes_",A99)-6))</f>
        <v>4</v>
      </c>
    </row>
    <row r="100" spans="1:8" x14ac:dyDescent="0.25">
      <c r="A100" t="s">
        <v>70</v>
      </c>
      <c r="B100" s="2">
        <v>367854</v>
      </c>
      <c r="C100" s="2">
        <v>349.11</v>
      </c>
      <c r="D100" s="2">
        <v>138.10400000000001</v>
      </c>
      <c r="E100" s="2">
        <v>7048.4</v>
      </c>
      <c r="F100" s="2">
        <v>7535.6130000000003</v>
      </c>
      <c r="G100" s="2">
        <v>101704</v>
      </c>
      <c r="H100" s="2">
        <f>VALUE(MID(A100, FIND("Holes_",A100)+6, FIND(".",A100,FIND("Holes_",A100))-FIND("Holes_",A100)-6))</f>
        <v>6</v>
      </c>
    </row>
    <row r="101" spans="1:8" x14ac:dyDescent="0.25">
      <c r="A101" t="s">
        <v>74</v>
      </c>
      <c r="B101" s="2">
        <v>400000</v>
      </c>
      <c r="C101" s="2">
        <v>382.95800000000003</v>
      </c>
      <c r="D101" s="2">
        <v>169.495</v>
      </c>
      <c r="E101" s="2">
        <v>10461.975</v>
      </c>
      <c r="F101" s="2">
        <v>11014.428</v>
      </c>
      <c r="G101" s="2">
        <v>146100</v>
      </c>
      <c r="H101" s="2">
        <f>VALUE(MID(A101, FIND("Holes_",A101)+6, FIND(".",A101,FIND("Holes_",A101))-FIND("Holes_",A101)-6))</f>
        <v>3</v>
      </c>
    </row>
  </sheetData>
  <autoFilter ref="A1:H1" xr:uid="{F2FEB845-BDF4-43D0-B6F9-869B93C3A5B5}">
    <sortState xmlns:xlrd2="http://schemas.microsoft.com/office/spreadsheetml/2017/richdata2" ref="A2:H10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Sheet5</vt:lpstr>
      <vt:lpstr>Sheet6</vt:lpstr>
      <vt:lpstr>benchmark_orignal_results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mx</dc:creator>
  <cp:lastModifiedBy>Ming Xian Cheng</cp:lastModifiedBy>
  <dcterms:created xsi:type="dcterms:W3CDTF">2026-04-03T05:56:27Z</dcterms:created>
  <dcterms:modified xsi:type="dcterms:W3CDTF">2026-04-03T05:56:27Z</dcterms:modified>
</cp:coreProperties>
</file>